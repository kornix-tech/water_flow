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1_Project" sheetId="2" state="visible" r:id="rId2"/>
    <sheet xmlns:r="http://schemas.openxmlformats.org/officeDocument/2006/relationships" name="02_Domain" sheetId="3" state="visible" r:id="rId3"/>
    <sheet xmlns:r="http://schemas.openxmlformats.org/officeDocument/2006/relationships" name="03_Soil" sheetId="4" state="visible" r:id="rId4"/>
    <sheet xmlns:r="http://schemas.openxmlformats.org/officeDocument/2006/relationships" name="04_Initial_BC" sheetId="5" state="visible" r:id="rId5"/>
    <sheet xmlns:r="http://schemas.openxmlformats.org/officeDocument/2006/relationships" name="05_Time_Forcing" sheetId="6" state="visible" r:id="rId6"/>
    <sheet xmlns:r="http://schemas.openxmlformats.org/officeDocument/2006/relationships" name="06_ET_Roots" sheetId="7" state="visible" r:id="rId7"/>
    <sheet xmlns:r="http://schemas.openxmlformats.org/officeDocument/2006/relationships" name="07_Irrigation_Drainage" sheetId="8" state="visible" r:id="rId8"/>
    <sheet xmlns:r="http://schemas.openxmlformats.org/officeDocument/2006/relationships" name="08_Groundwater" sheetId="9" state="visible" r:id="rId9"/>
    <sheet xmlns:r="http://schemas.openxmlformats.org/officeDocument/2006/relationships" name="09_Solver" sheetId="10" state="visible" r:id="rId10"/>
    <sheet xmlns:r="http://schemas.openxmlformats.org/officeDocument/2006/relationships" name="10_Weather_Daily" sheetId="11" state="visible" r:id="rId11"/>
    <sheet xmlns:r="http://schemas.openxmlformats.org/officeDocument/2006/relationships" name="11_Derived_Checks" sheetId="12" state="visible" r:id="rId12"/>
    <sheet xmlns:r="http://schemas.openxmlformats.org/officeDocument/2006/relationships" name="_test" sheetId="13" state="visible" r:id="rId13"/>
    <sheet xmlns:r="http://schemas.openxmlformats.org/officeDocument/2006/relationships" name="_test_index" sheetId="14" state="visible" r:id="rId14"/>
    <sheet xmlns:r="http://schemas.openxmlformats.org/officeDocument/2006/relationships" name="_test_linear_darcy" sheetId="15" state="visible" r:id="rId15"/>
    <sheet xmlns:r="http://schemas.openxmlformats.org/officeDocument/2006/relationships" name="_test_hydrostatic_vg_no_flow" sheetId="16" state="visible" r:id="rId16"/>
    <sheet xmlns:r="http://schemas.openxmlformats.org/officeDocument/2006/relationships" name="_test_unit_gradient_unsat" sheetId="17" state="visible" r:id="rId17"/>
    <sheet xmlns:r="http://schemas.openxmlformats.org/officeDocument/2006/relationships" name="_test_transient_uniform_storage_vg" sheetId="18" state="visible" r:id="rId18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E+00"/>
    <numFmt numFmtId="166" formatCode="0.0000"/>
  </numFmts>
  <fonts count="9">
    <font>
      <name val="Carlito"/>
      <sz val="11"/>
    </font>
    <font>
      <name val="Carlito"/>
      <b val="1"/>
      <color rgb="00FFFFFF"/>
      <sz val="14"/>
    </font>
    <font>
      <name val="Carlito"/>
      <b val="1"/>
      <sz val="11"/>
    </font>
    <font>
      <name val="Carlito"/>
      <i val="1"/>
      <color rgb="001F2937"/>
      <sz val="11"/>
    </font>
    <font>
      <name val="Carlito"/>
      <b val="1"/>
      <color rgb="00FFFFFF"/>
      <sz val="11"/>
    </font>
    <font>
      <name val="Carlito"/>
      <i val="1"/>
      <color rgb="0014532D"/>
      <sz val="11"/>
    </font>
    <font>
      <name val="Carlito"/>
      <b val="1"/>
      <color rgb="0014532D"/>
      <sz val="11"/>
    </font>
    <font>
      <name val="Carlito"/>
      <i val="1"/>
      <color rgb="001E3A8A"/>
      <sz val="11"/>
    </font>
    <font>
      <name val="Carlito"/>
      <b val="1"/>
      <color rgb="001E3A8A"/>
      <sz val="11"/>
    </font>
  </fonts>
  <fills count="2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0F2FE"/>
      </patternFill>
    </fill>
    <fill>
      <patternFill patternType="solid">
        <fgColor rgb="00D9EAF7"/>
      </patternFill>
    </fill>
    <fill>
      <patternFill patternType="solid">
        <fgColor rgb="000F766E"/>
      </patternFill>
    </fill>
    <fill>
      <patternFill patternType="solid">
        <fgColor rgb="00FFF7ED"/>
      </patternFill>
    </fill>
    <fill>
      <patternFill patternType="solid">
        <fgColor rgb="0014532D"/>
      </patternFill>
    </fill>
    <fill>
      <patternFill patternType="solid">
        <fgColor rgb="00DCFCE7"/>
      </patternFill>
    </fill>
    <fill>
      <patternFill patternType="solid">
        <fgColor rgb="00166534"/>
      </patternFill>
    </fill>
    <fill>
      <patternFill patternType="solid">
        <fgColor rgb="00BBF7D0"/>
      </patternFill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115E59"/>
      </patternFill>
    </fill>
    <fill>
      <patternFill patternType="solid">
        <fgColor rgb="00ECFDF5"/>
      </patternFill>
    </fill>
    <fill>
      <patternFill patternType="solid">
        <fgColor rgb="00FEF3C7"/>
      </patternFill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0F766E"/>
      </patternFill>
    </fill>
    <fill>
      <patternFill patternType="solid">
        <fgColor rgb="00FFF2CC"/>
      </patternFill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1D4ED8"/>
      </patternFill>
    </fill>
    <fill>
      <patternFill patternType="solid">
        <fgColor rgb="00BFDBFE"/>
      </patternFill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115E59"/>
      </patternFill>
    </fill>
    <fill>
      <patternFill patternType="solid">
        <fgColor rgb="00ECFDF5"/>
      </patternFill>
    </fill>
    <fill>
      <patternFill patternType="solid">
        <fgColor rgb="00FEF3C7"/>
      </patternFill>
    </fill>
  </fills>
  <borders count="20">
    <border/>
    <border/>
    <border>
      <right>
        <color rgb="00E5E7EB"/>
      </right>
      <bottom>
        <color rgb="00E5E7EB"/>
      </bottom>
    </border>
    <border>
      <left>
        <color rgb="00E5E7EB"/>
      </left>
      <right>
        <color rgb="00E5E7EB"/>
      </right>
      <bottom>
        <color rgb="00E5E7EB"/>
      </bottom>
    </border>
    <border>
      <left>
        <color rgb="00E5E7EB"/>
      </left>
      <bottom>
        <color rgb="00E5E7EB"/>
      </bottom>
    </border>
    <border>
      <right>
        <color rgb="00E5E7EB"/>
      </right>
      <top>
        <color rgb="00E5E7EB"/>
      </top>
      <bottom>
        <color rgb="00E5E7EB"/>
      </bottom>
    </border>
    <border>
      <left>
        <color rgb="00E5E7EB"/>
      </left>
      <right>
        <color rgb="00E5E7EB"/>
      </right>
      <top>
        <color rgb="00E5E7EB"/>
      </top>
      <bottom>
        <color rgb="00E5E7EB"/>
      </bottom>
    </border>
    <border>
      <left>
        <color rgb="00E5E7EB"/>
      </left>
      <top>
        <color rgb="00E5E7EB"/>
      </top>
      <bottom>
        <color rgb="00E5E7EB"/>
      </bottom>
    </border>
    <border>
      <right>
        <color rgb="00E5E7EB"/>
      </right>
      <top>
        <color rgb="00E5E7EB"/>
      </top>
    </border>
    <border>
      <left>
        <color rgb="00E5E7EB"/>
      </left>
      <right>
        <color rgb="00E5E7EB"/>
      </right>
      <top>
        <color rgb="00E5E7EB"/>
      </top>
    </border>
    <border>
      <left>
        <color rgb="00E5E7EB"/>
      </left>
      <top>
        <color rgb="00E5E7EB"/>
      </top>
    </border>
    <border>
      <right>
        <color rgb="00E5E7EB"/>
      </right>
      <bottom>
        <color rgb="00E5E7EB"/>
      </bottom>
    </border>
    <border>
      <left>
        <color rgb="00E5E7EB"/>
      </left>
      <right>
        <color rgb="00E5E7EB"/>
      </right>
      <bottom>
        <color rgb="00E5E7EB"/>
      </bottom>
    </border>
    <border>
      <left>
        <color rgb="00E5E7EB"/>
      </left>
      <bottom>
        <color rgb="00E5E7EB"/>
      </bottom>
    </border>
    <border>
      <right>
        <color rgb="00E5E7EB"/>
      </right>
      <top>
        <color rgb="00E5E7EB"/>
      </top>
      <bottom>
        <color rgb="00E5E7EB"/>
      </bottom>
    </border>
    <border>
      <left>
        <color rgb="00E5E7EB"/>
      </left>
      <right>
        <color rgb="00E5E7EB"/>
      </right>
      <top>
        <color rgb="00E5E7EB"/>
      </top>
      <bottom>
        <color rgb="00E5E7EB"/>
      </bottom>
    </border>
    <border>
      <left>
        <color rgb="00E5E7EB"/>
      </left>
      <top>
        <color rgb="00E5E7EB"/>
      </top>
      <bottom>
        <color rgb="00E5E7EB"/>
      </bottom>
    </border>
    <border>
      <right>
        <color rgb="00E5E7EB"/>
      </right>
      <top>
        <color rgb="00E5E7EB"/>
      </top>
    </border>
    <border>
      <left>
        <color rgb="00E5E7EB"/>
      </left>
      <right>
        <color rgb="00E5E7EB"/>
      </right>
      <top>
        <color rgb="00E5E7EB"/>
      </top>
    </border>
    <border>
      <left>
        <color rgb="00E5E7EB"/>
      </left>
      <top>
        <color rgb="00E5E7EB"/>
      </top>
    </border>
  </borders>
  <cellStyleXfs count="1">
    <xf numFmtId="0" fontId="0" fillId="0" borderId="1"/>
  </cellStyleXfs>
  <cellXfs count="1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left" wrapText="1"/>
    </xf>
    <xf numFmtId="0" fontId="3" fillId="4" borderId="0" applyAlignment="1" pivotButton="0" quotePrefix="0" xfId="0">
      <alignment horizontal="left" vertical="top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6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6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4" fillId="5" borderId="11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6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6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6" borderId="6" applyAlignment="1" pivotButton="0" quotePrefix="0" xfId="0">
      <alignment wrapText="1"/>
    </xf>
    <xf numFmtId="0" fontId="0" fillId="6" borderId="15" applyAlignment="1" pivotButton="0" quotePrefix="0" xfId="0">
      <alignment wrapText="1"/>
    </xf>
    <xf numFmtId="0" fontId="0" fillId="6" borderId="9" applyAlignment="1" pivotButton="0" quotePrefix="0" xfId="0">
      <alignment wrapText="1"/>
    </xf>
    <xf numFmtId="0" fontId="0" fillId="6" borderId="18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164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5" applyAlignment="1" pivotButton="0" quotePrefix="0" xfId="0">
      <alignment wrapText="1"/>
    </xf>
    <xf numFmtId="2" fontId="0" fillId="0" borderId="6" applyAlignment="1" pivotButton="0" quotePrefix="0" xfId="0">
      <alignment wrapText="1"/>
    </xf>
    <xf numFmtId="164" fontId="0" fillId="0" borderId="8" applyAlignment="1" pivotButton="0" quotePrefix="0" xfId="0">
      <alignment wrapText="1"/>
    </xf>
    <xf numFmtId="2" fontId="0" fillId="0" borderId="9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2" fontId="0" fillId="0" borderId="15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2" fontId="0" fillId="0" borderId="18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5" fontId="0" fillId="0" borderId="6" applyAlignment="1" pivotButton="0" quotePrefix="0" xfId="0">
      <alignment wrapText="1"/>
    </xf>
    <xf numFmtId="165" fontId="0" fillId="0" borderId="9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vertical="center" wrapText="1"/>
    </xf>
    <xf numFmtId="0" fontId="0" fillId="9" borderId="0" pivotButton="0" quotePrefix="0" xfId="0"/>
    <xf numFmtId="0" fontId="4" fillId="9" borderId="0" pivotButton="0" quotePrefix="0" xfId="0"/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center" vertical="center"/>
    </xf>
    <xf numFmtId="0" fontId="0" fillId="10" borderId="0" pivotButton="0" quotePrefix="0" xfId="0"/>
    <xf numFmtId="0" fontId="6" fillId="10" borderId="0" pivotButton="0" quotePrefix="0" xfId="0"/>
    <xf numFmtId="0" fontId="6" fillId="10" borderId="0" applyAlignment="1" pivotButton="0" quotePrefix="0" xfId="0">
      <alignment horizontal="center"/>
    </xf>
    <xf numFmtId="165" fontId="0" fillId="0" borderId="0" applyAlignment="1" pivotButton="0" quotePrefix="0" xfId="0">
      <alignment wrapText="1"/>
    </xf>
    <xf numFmtId="0" fontId="1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vertical="center" wrapText="1"/>
    </xf>
    <xf numFmtId="0" fontId="5" fillId="12" borderId="0" applyAlignment="1" pivotButton="0" quotePrefix="0" xfId="0">
      <alignment vertical="top" wrapText="1"/>
    </xf>
    <xf numFmtId="0" fontId="4" fillId="13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wrapText="1"/>
    </xf>
    <xf numFmtId="0" fontId="0" fillId="14" borderId="0" applyAlignment="1" pivotButton="0" quotePrefix="0" xfId="0">
      <alignment wrapText="1"/>
    </xf>
    <xf numFmtId="0" fontId="6" fillId="14" borderId="0" applyAlignment="1" pivotButton="0" quotePrefix="0" xfId="0">
      <alignment horizontal="center" wrapText="1"/>
    </xf>
    <xf numFmtId="0" fontId="2" fillId="14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5" fontId="0" fillId="15" borderId="0" applyAlignment="1" pivotButton="0" quotePrefix="0" xfId="0">
      <alignment wrapText="1"/>
    </xf>
    <xf numFmtId="165" fontId="0" fillId="15" borderId="0" applyAlignment="1" pivotButton="0" quotePrefix="0" xfId="0">
      <alignment wrapText="1"/>
    </xf>
    <xf numFmtId="2" fontId="0" fillId="15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0" fontId="6" fillId="15" borderId="0" applyAlignment="1" pivotButton="0" quotePrefix="0" xfId="0">
      <alignment horizontal="center" wrapText="1"/>
    </xf>
    <xf numFmtId="165" fontId="6" fillId="1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5" fillId="17" borderId="0" applyAlignment="1" pivotButton="0" quotePrefix="0" xfId="0">
      <alignment vertical="top" wrapText="1"/>
    </xf>
    <xf numFmtId="0" fontId="4" fillId="18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1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15" borderId="0" applyAlignment="1" pivotButton="0" quotePrefix="0" xfId="0">
      <alignment vertical="top" wrapText="1"/>
    </xf>
    <xf numFmtId="2" fontId="0" fillId="15" borderId="0" applyAlignment="1" pivotButton="0" quotePrefix="0" xfId="0">
      <alignment vertical="top" wrapText="1"/>
    </xf>
    <xf numFmtId="0" fontId="6" fillId="14" borderId="0" applyAlignment="1" pivotButton="0" quotePrefix="0" xfId="0">
      <alignment horizontal="center" vertical="top" wrapText="1"/>
    </xf>
    <xf numFmtId="0" fontId="6" fillId="10" borderId="0" applyAlignment="1" pivotButton="0" quotePrefix="0" xfId="0">
      <alignment horizontal="center" vertical="top" wrapText="1"/>
    </xf>
    <xf numFmtId="165" fontId="6" fillId="15" borderId="0" applyAlignment="1" pivotButton="0" quotePrefix="0" xfId="0">
      <alignment horizontal="center" vertical="top" wrapText="1"/>
    </xf>
    <xf numFmtId="0" fontId="0" fillId="15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9" borderId="0" pivotButton="0" quotePrefix="0" xfId="0"/>
    <xf numFmtId="0" fontId="0" fillId="19" borderId="0" applyAlignment="1" pivotButton="0" quotePrefix="0" xfId="0">
      <alignment wrapText="1"/>
    </xf>
    <xf numFmtId="0" fontId="2" fillId="19" borderId="0" applyAlignment="1" pivotButton="0" quotePrefix="0" xfId="0">
      <alignment wrapText="1"/>
    </xf>
    <xf numFmtId="0" fontId="5" fillId="4" borderId="0" applyAlignment="1" pivotButton="0" quotePrefix="0" xfId="0">
      <alignment vertical="top" wrapText="1"/>
    </xf>
    <xf numFmtId="0" fontId="1" fillId="20" borderId="0" applyAlignment="1" pivotButton="0" quotePrefix="0" xfId="0">
      <alignment horizontal="center" vertical="center"/>
    </xf>
    <xf numFmtId="0" fontId="5" fillId="21" borderId="0" applyAlignment="1" pivotButton="0" quotePrefix="0" xfId="0">
      <alignment vertical="top" wrapText="1"/>
    </xf>
    <xf numFmtId="0" fontId="7" fillId="21" borderId="0" applyAlignment="1" pivotButton="0" quotePrefix="0" xfId="0">
      <alignment vertical="top" wrapText="1"/>
    </xf>
    <xf numFmtId="0" fontId="7" fillId="21" borderId="0" applyAlignment="1" pivotButton="0" quotePrefix="0" xfId="0">
      <alignment vertical="center" wrapText="1"/>
    </xf>
    <xf numFmtId="0" fontId="4" fillId="22" borderId="0" applyAlignment="1" pivotButton="0" quotePrefix="0" xfId="0">
      <alignment horizontal="center" vertical="center" wrapText="1"/>
    </xf>
    <xf numFmtId="0" fontId="2" fillId="23" borderId="0" applyAlignment="1" pivotButton="0" quotePrefix="0" xfId="0">
      <alignment vertical="top" wrapText="1"/>
    </xf>
    <xf numFmtId="165" fontId="0" fillId="23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8" fillId="23" borderId="0" applyAlignment="1" pivotButton="0" quotePrefix="0" xfId="0">
      <alignment vertical="top" wrapText="1"/>
    </xf>
    <xf numFmtId="165" fontId="8" fillId="23" borderId="0" applyAlignment="1" pivotButton="0" quotePrefix="0" xfId="0">
      <alignment vertical="top" wrapText="1"/>
    </xf>
    <xf numFmtId="0" fontId="8" fillId="23" borderId="0" applyAlignment="1" pivotButton="0" quotePrefix="0" xfId="0">
      <alignment horizontal="center" vertical="top" wrapText="1"/>
    </xf>
    <xf numFmtId="165" fontId="8" fillId="23" borderId="0" applyAlignment="1" pivotButton="0" quotePrefix="0" xfId="0">
      <alignment horizontal="center" vertical="top" wrapText="1"/>
    </xf>
    <xf numFmtId="49" fontId="0" fillId="15" borderId="0" applyAlignment="1" pivotButton="0" quotePrefix="0" xfId="0">
      <alignment vertical="top" wrapText="1"/>
    </xf>
    <xf numFmtId="166" fontId="0" fillId="15" borderId="0" applyAlignment="1" pivotButton="0" quotePrefix="0" xfId="0">
      <alignment vertical="top" wrapText="1"/>
    </xf>
    <xf numFmtId="49" fontId="0" fillId="15" borderId="0" applyAlignment="1" pivotButton="0" quotePrefix="0" xfId="0">
      <alignment vertical="top" wrapText="1"/>
    </xf>
    <xf numFmtId="0" fontId="1" fillId="24" borderId="0" applyAlignment="1" pivotButton="0" quotePrefix="0" xfId="0">
      <alignment horizontal="center" vertical="center"/>
    </xf>
    <xf numFmtId="0" fontId="7" fillId="25" borderId="0" applyAlignment="1" pivotButton="0" quotePrefix="0" xfId="0">
      <alignment vertical="center" wrapText="1"/>
    </xf>
    <xf numFmtId="0" fontId="7" fillId="25" borderId="0" applyAlignment="1" pivotButton="0" quotePrefix="0" xfId="0">
      <alignment vertical="top" wrapText="1"/>
    </xf>
    <xf numFmtId="0" fontId="4" fillId="26" borderId="0" applyAlignment="1" pivotButton="0" quotePrefix="0" xfId="0">
      <alignment horizontal="center" vertical="center" wrapText="1"/>
    </xf>
    <xf numFmtId="0" fontId="2" fillId="27" borderId="0" applyAlignment="1" pivotButton="0" quotePrefix="0" xfId="0">
      <alignment vertical="top" wrapText="1"/>
    </xf>
    <xf numFmtId="0" fontId="6" fillId="27" borderId="0" applyAlignment="1" pivotButton="0" quotePrefix="0" xfId="0">
      <alignment horizontal="center" vertical="top" wrapText="1"/>
    </xf>
    <xf numFmtId="0" fontId="8" fillId="27" borderId="0" applyAlignment="1" pivotButton="0" quotePrefix="0" xfId="0">
      <alignment horizontal="center" vertical="top" wrapText="1"/>
    </xf>
    <xf numFmtId="0" fontId="2" fillId="27" borderId="0" applyAlignment="1" pivotButton="0" quotePrefix="0" xfId="0">
      <alignment wrapText="1"/>
    </xf>
    <xf numFmtId="49" fontId="0" fillId="28" borderId="0" applyAlignment="1" pivotButton="0" quotePrefix="0" xfId="0">
      <alignment vertical="top" wrapText="1"/>
    </xf>
    <xf numFmtId="166" fontId="0" fillId="28" borderId="0" applyAlignment="1" pivotButton="0" quotePrefix="0" xfId="0">
      <alignment vertical="top" wrapText="1"/>
    </xf>
    <xf numFmtId="165" fontId="0" fillId="28" borderId="0" applyAlignment="1" pivotButton="0" quotePrefix="0" xfId="0">
      <alignment vertical="top" wrapText="1"/>
    </xf>
    <xf numFmtId="165" fontId="6" fillId="28" borderId="0" applyAlignment="1" pivotButton="0" quotePrefix="0" xfId="0">
      <alignment horizontal="center" vertical="top" wrapText="1"/>
    </xf>
    <xf numFmtId="165" fontId="8" fillId="28" borderId="0" applyAlignment="1" pivotButton="0" quotePrefix="0" xfId="0">
      <alignment horizontal="center" vertical="top" wrapText="1"/>
    </xf>
    <xf numFmtId="165" fontId="0" fillId="28" borderId="0" applyAlignment="1" pivotButton="0" quotePrefix="0" xfId="0">
      <alignment wrapText="1"/>
    </xf>
    <xf numFmtId="164" fontId="0" fillId="0" borderId="5" applyAlignment="1" pivotButton="0" quotePrefix="0" xfId="0">
      <alignment wrapText="1"/>
    </xf>
    <xf numFmtId="2" fontId="0" fillId="0" borderId="6" applyAlignment="1" pivotButton="0" quotePrefix="0" xfId="0">
      <alignment wrapText="1"/>
    </xf>
    <xf numFmtId="164" fontId="0" fillId="0" borderId="8" applyAlignment="1" pivotButton="0" quotePrefix="0" xfId="0">
      <alignment wrapText="1"/>
    </xf>
    <xf numFmtId="2" fontId="0" fillId="0" borderId="9" applyAlignment="1" pivotButton="0" quotePrefix="0" xfId="0">
      <alignment wrapText="1"/>
    </xf>
    <xf numFmtId="165" fontId="0" fillId="0" borderId="6" applyAlignment="1" pivotButton="0" quotePrefix="0" xfId="0">
      <alignment wrapText="1"/>
    </xf>
    <xf numFmtId="165" fontId="0" fillId="0" borderId="9" applyAlignment="1" pivotButton="0" quotePrefix="0" xfId="0">
      <alignment wrapText="1"/>
    </xf>
    <xf numFmtId="0" fontId="1" fillId="24" borderId="1" applyAlignment="1" pivotButton="0" quotePrefix="0" xfId="0">
      <alignment horizontal="center" vertical="center"/>
    </xf>
    <xf numFmtId="0" fontId="7" fillId="25" borderId="1" applyAlignment="1" pivotButton="0" quotePrefix="0" xfId="0">
      <alignment vertical="top" wrapText="1"/>
    </xf>
    <xf numFmtId="49" fontId="0" fillId="28" borderId="0" applyAlignment="1" pivotButton="0" quotePrefix="0" xfId="0">
      <alignment vertical="top" wrapText="1"/>
    </xf>
    <xf numFmtId="166" fontId="0" fillId="28" borderId="0" applyAlignment="1" pivotButton="0" quotePrefix="0" xfId="0">
      <alignment vertical="top" wrapText="1"/>
    </xf>
    <xf numFmtId="165" fontId="0" fillId="28" borderId="0" applyAlignment="1" pivotButton="0" quotePrefix="0" xfId="0">
      <alignment vertical="top" wrapText="1"/>
    </xf>
    <xf numFmtId="0" fontId="6" fillId="27" borderId="1" applyAlignment="1" pivotButton="0" quotePrefix="0" xfId="0">
      <alignment horizontal="center" vertical="top" wrapText="1"/>
    </xf>
    <xf numFmtId="0" fontId="8" fillId="27" borderId="1" applyAlignment="1" pivotButton="0" quotePrefix="0" xfId="0">
      <alignment horizontal="center" vertical="top" wrapText="1"/>
    </xf>
    <xf numFmtId="165" fontId="0" fillId="28" borderId="0" applyAlignment="1" pivotButton="0" quotePrefix="0" xfId="0">
      <alignment wrapText="1"/>
    </xf>
    <xf numFmtId="165" fontId="0" fillId="15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01ProjectTable" displayName="01ProjectTable" ref="A4:G10" headerRowCount="1">
  <tableColumns count="7">
    <tableColumn id="1" name="Блок"/>
    <tableColumn id="2" name="Parameter"/>
    <tableColumn id="3" name="Value"/>
    <tableColumn id="4" name="Units"/>
    <tableColumn id="5" name="Физический смысл / пояснение"/>
    <tableColumn id="6" name="PFLOTRAN / переменная"/>
    <tableColumn id="7" name="Примечание"/>
  </tableColumns>
  <tableStyleInfo name="TableStyleMedium2" showRowStripes="1"/>
</table>
</file>

<file path=xl/tables/table2.xml><?xml version="1.0" encoding="utf-8"?>
<table xmlns="http://schemas.openxmlformats.org/spreadsheetml/2006/main" id="2" name="02DomainTable" displayName="02DomainTable" ref="A4:G12" headerRowCount="1">
  <tableColumns count="7">
    <tableColumn id="1" name="Блок"/>
    <tableColumn id="2" name="Parameter"/>
    <tableColumn id="3" name="Value"/>
    <tableColumn id="4" name="Units"/>
    <tableColumn id="5" name="Физический смысл / пояснение"/>
    <tableColumn id="6" name="PFLOTRAN / переменная"/>
    <tableColumn id="7" name="Примечание"/>
  </tableColumns>
  <tableStyleInfo name="TableStyleMedium2" showRowStripes="1"/>
</table>
</file>

<file path=xl/tables/table3.xml><?xml version="1.0" encoding="utf-8"?>
<table xmlns="http://schemas.openxmlformats.org/spreadsheetml/2006/main" id="3" name="03SoilTable" displayName="03SoilTable" ref="A4:G16" headerRowCount="1">
  <tableColumns count="7">
    <tableColumn id="1" name="Блок"/>
    <tableColumn id="2" name="Parameter"/>
    <tableColumn id="3" name="Value"/>
    <tableColumn id="4" name="Units"/>
    <tableColumn id="5" name="Физический смысл / пояснение"/>
    <tableColumn id="6" name="PFLOTRAN / переменная"/>
    <tableColumn id="7" name="Примечание"/>
  </tableColumns>
  <tableStyleInfo name="TableStyleMedium2" showRowStripes="1"/>
</table>
</file>

<file path=xl/tables/table4.xml><?xml version="1.0" encoding="utf-8"?>
<table xmlns="http://schemas.openxmlformats.org/spreadsheetml/2006/main" id="4" name="04InitialBCTable" displayName="04InitialBCTable" ref="A4:G13" headerRowCount="1">
  <tableColumns count="7">
    <tableColumn id="1" name="Блок"/>
    <tableColumn id="2" name="Parameter"/>
    <tableColumn id="3" name="Value"/>
    <tableColumn id="4" name="Units"/>
    <tableColumn id="5" name="Физический смысл / пояснение"/>
    <tableColumn id="6" name="PFLOTRAN / переменная"/>
    <tableColumn id="7" name="Примечание"/>
  </tableColumns>
  <tableStyleInfo name="TableStyleMedium2" showRowStripes="1"/>
</table>
</file>

<file path=xl/tables/table5.xml><?xml version="1.0" encoding="utf-8"?>
<table xmlns="http://schemas.openxmlformats.org/spreadsheetml/2006/main" id="5" name="05TimeForcingTable" displayName="05TimeForcingTable" ref="A4:G10" headerRowCount="1">
  <tableColumns count="7">
    <tableColumn id="1" name="Блок"/>
    <tableColumn id="2" name="Parameter"/>
    <tableColumn id="3" name="Value"/>
    <tableColumn id="4" name="Units"/>
    <tableColumn id="5" name="Физический смысл / пояснение"/>
    <tableColumn id="6" name="PFLOTRAN / переменная"/>
    <tableColumn id="7" name="Примечание"/>
  </tableColumns>
  <tableStyleInfo name="TableStyleMedium2" showRowStripes="1"/>
</table>
</file>

<file path=xl/tables/table6.xml><?xml version="1.0" encoding="utf-8"?>
<table xmlns="http://schemas.openxmlformats.org/spreadsheetml/2006/main" id="6" name="06ETRootsTable" displayName="06ETRootsTable" ref="A4:G10" headerRowCount="1">
  <tableColumns count="7">
    <tableColumn id="1" name="Блок"/>
    <tableColumn id="2" name="Parameter"/>
    <tableColumn id="3" name="Value"/>
    <tableColumn id="4" name="Units"/>
    <tableColumn id="5" name="Физический смысл / пояснение"/>
    <tableColumn id="6" name="PFLOTRAN / переменная"/>
    <tableColumn id="7" name="Примечание"/>
  </tableColumns>
  <tableStyleInfo name="TableStyleMedium2" showRowStripes="1"/>
</table>
</file>

<file path=xl/tables/table7.xml><?xml version="1.0" encoding="utf-8"?>
<table xmlns="http://schemas.openxmlformats.org/spreadsheetml/2006/main" id="7" name="07IrrigationDrainageTable" displayName="07IrrigationDrainageTable" ref="A4:G12" headerRowCount="1">
  <tableColumns count="7">
    <tableColumn id="1" name="Блок"/>
    <tableColumn id="2" name="Parameter"/>
    <tableColumn id="3" name="Value"/>
    <tableColumn id="4" name="Units"/>
    <tableColumn id="5" name="Физический смысл / пояснение"/>
    <tableColumn id="6" name="PFLOTRAN / переменная"/>
    <tableColumn id="7" name="Примечание"/>
  </tableColumns>
  <tableStyleInfo name="TableStyleMedium2" showRowStripes="1"/>
</table>
</file>

<file path=xl/tables/table8.xml><?xml version="1.0" encoding="utf-8"?>
<table xmlns="http://schemas.openxmlformats.org/spreadsheetml/2006/main" id="8" name="08GroundwaterTable" displayName="08GroundwaterTable" ref="A4:G10" headerRowCount="1">
  <tableColumns count="7">
    <tableColumn id="1" name="Блок"/>
    <tableColumn id="2" name="Parameter"/>
    <tableColumn id="3" name="Value"/>
    <tableColumn id="4" name="Units"/>
    <tableColumn id="5" name="Физический смысл / пояснение"/>
    <tableColumn id="6" name="PFLOTRAN / переменная"/>
    <tableColumn id="7" name="Примечание"/>
  </tableColumns>
  <tableStyleInfo name="TableStyleMedium2" showRowStripes="1"/>
</table>
</file>

<file path=xl/tables/table9.xml><?xml version="1.0" encoding="utf-8"?>
<table xmlns="http://schemas.openxmlformats.org/spreadsheetml/2006/main" id="9" name="09SolverTable" displayName="09SolverTable" ref="A4:G10" headerRowCount="1">
  <tableColumns count="7">
    <tableColumn id="1" name="Блок"/>
    <tableColumn id="2" name="Parameter"/>
    <tableColumn id="3" name="Value"/>
    <tableColumn id="4" name="Units"/>
    <tableColumn id="5" name="Физический смысл / пояснение"/>
    <tableColumn id="6" name="PFLOTRAN / переменная"/>
    <tableColumn id="7" name="Примечание"/>
  </tableColumns>
  <tableStyleInfo name="TableStyleMedium2" showRowStripes="1"/>
</table>
</file>

<file path=xl/tables/table10.xml><?xml version="1.0" encoding="utf-8"?>
<table xmlns="http://schemas.openxmlformats.org/spreadsheetml/2006/main" id="10" name="WeatherDailyTable" displayName="WeatherDailyTable" ref="A4:H11" headerRowCount="1">
  <tableColumns count="8">
    <tableColumn id="1" name="date"/>
    <tableColumn id="2" name="precipitation_mm_day"/>
    <tableColumn id="3" name="irrigation_mm_day"/>
    <tableColumn id="4" name="epot_mm_day"/>
    <tableColumn id="5" name="tpot_mm_day"/>
    <tableColumn id="6" name="groundwater_depth_m"/>
    <tableColumn id="7" name="net_surface_input_mm_day"/>
    <tableColumn id="8" name="Комментарий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style="95" min="1" max="1"/>
    <col width="80" customWidth="1" style="95" min="2" max="2"/>
  </cols>
  <sheetData>
    <row r="1" ht="24" customHeight="1" s="95">
      <c r="A1" s="9" t="inlineStr">
        <is>
          <t>Шаблон входных данных для демонстрационного запуска PFLOTRAN/Richards</t>
        </is>
      </c>
      <c r="B1" s="63" t="n"/>
      <c r="C1" s="63" t="n"/>
      <c r="D1" s="63" t="n"/>
      <c r="E1" s="63" t="n"/>
      <c r="F1" s="63" t="n"/>
      <c r="G1" s="63" t="n"/>
      <c r="H1" s="63" t="n"/>
    </row>
    <row r="3">
      <c r="A3" s="12" t="inlineStr">
        <is>
          <t>Назначение</t>
        </is>
      </c>
      <c r="B3" s="64" t="inlineStr">
        <is>
          <t>Этот файл является заготовкой входных данных для Python-обвязки, которая генерирует input deck PFLOTRAN для демонстрационной задачи влагопереноса в почвенной колонке.</t>
        </is>
      </c>
    </row>
    <row r="4">
      <c r="A4" s="12" t="inlineStr">
        <is>
          <t>Единицы</t>
        </is>
      </c>
      <c r="B4" s="64" t="inlineStr">
        <is>
          <t>Во всех листах использовать SI: м, с, Па, кг, м³/м³. Суточные метеоданные заданы в мм/сут, Python-конвертер переводит их в м/с.</t>
        </is>
      </c>
    </row>
    <row r="5">
      <c r="A5" s="12" t="inlineStr">
        <is>
          <t>Текущий демонстрационный режим</t>
        </is>
      </c>
      <c r="B5" s="64" t="inlineStr">
        <is>
          <t>Генерируется структурированная 1D/2D/3D сетка. Демонстрационный PFLOTRAN input использует RICHARDS mode и постоянный средний верхний поток, вычисленный из листа 10_Weather_Daily.</t>
        </is>
      </c>
    </row>
    <row r="6">
      <c r="A6" s="12" t="inlineStr">
        <is>
          <t>Архитектурный задел</t>
        </is>
      </c>
      <c r="B6" s="64" t="inlineStr">
        <is>
          <t>Листы ET, корней, полива, дренажа и грунтовых вод заданы как контракт расширения. На первом шаге они используются для расчёта демонстрационного верхнего потока и описания сценария.</t>
        </is>
      </c>
    </row>
    <row r="7">
      <c r="A7" s="12" t="inlineStr">
        <is>
          <t>Официальная документация PFLOTRAN</t>
        </is>
      </c>
      <c r="B7" s="64" t="inlineStr">
        <is>
          <t>https://www.pflotran.org/documentation/user_guide/how_to/simple_flow_problem.html</t>
        </is>
      </c>
    </row>
    <row r="8">
      <c r="A8" s="12" t="inlineStr">
        <is>
          <t>Установка Windows/WSL</t>
        </is>
      </c>
      <c r="B8" s="64" t="inlineStr">
        <is>
          <t>https://www.pflotran.org/documentation/user_guide/how_to/installation/windows_wsl.html</t>
        </is>
      </c>
    </row>
    <row r="9">
      <c r="A9" s="169" t="inlineStr">
        <is>
          <t>Верификация _test</t>
        </is>
      </c>
      <c r="B9" s="64" t="inlineStr">
        <is>
          <t>Лист _test содержит стационарную линеаризованную задачу Ричардса/Дарси. Запуск: docker/run_test.sh, make test или scripts/run_test_docker.sh.</t>
        </is>
      </c>
    </row>
    <row r="10">
      <c r="A10" s="169" t="inlineStr">
        <is>
          <t>Файлы _test</t>
        </is>
      </c>
      <c r="B10" s="64" t="inlineStr">
        <is>
          <t>Создаются pflotran.in, analytical_solution.csv, analytical_test_summary.txt, TEST_STATUS.txt и после успешного расчёта test_comparison.csv/svg.</t>
        </is>
      </c>
    </row>
    <row r="11">
      <c r="A11" s="145" t="inlineStr">
        <is>
          <t>Выход _test</t>
        </is>
      </c>
      <c r="B11" s="144" t="inlineStr">
        <is>
          <t>PFLOTRAN-профиль сравнивается с аналитическим решением Дарси; отчёты: TEST_STATUS.txt, test_comparison.csv, test_comparison.svg.</t>
        </is>
      </c>
    </row>
    <row r="12">
      <c r="A12" s="145" t="inlineStr">
        <is>
          <t>_test output</t>
        </is>
      </c>
      <c r="B12" s="144" t="inlineStr">
        <is>
          <t>Ожидаемые файлы: analytical_solution.csv, test_comparison.csv, TEST_STATUS.txt, test_comparison.svg.</t>
        </is>
      </c>
    </row>
    <row r="13">
      <c r="A13" s="145" t="inlineStr">
        <is>
          <t>режим запуска</t>
        </is>
      </c>
      <c r="B13" s="144" t="inlineStr">
        <is>
          <t>python scripts/soilflow_pflotran.py --mode _test --xlsx input/soilflow_pflotran_demo.xlsx --workdir output/runs/_test_linear_darcy --run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style="95" min="1" max="1"/>
    <col width="28" customWidth="1" style="95" min="2" max="2"/>
    <col width="20" customWidth="1" style="95" min="3" max="3"/>
    <col width="16" customWidth="1" style="95" min="4" max="4"/>
    <col width="58" customWidth="1" style="95" min="5" max="5"/>
    <col width="34" customWidth="1" style="95" min="6" max="6"/>
    <col width="48" customWidth="1" style="95" min="7" max="7"/>
  </cols>
  <sheetData>
    <row r="1" ht="24" customHeight="1" s="95">
      <c r="A1" s="9" t="inlineStr">
        <is>
          <t>01_Project — общие параметры проекта</t>
        </is>
      </c>
      <c r="B1" s="63" t="n"/>
      <c r="C1" s="63" t="n"/>
      <c r="D1" s="63" t="n"/>
      <c r="E1" s="63" t="n"/>
      <c r="F1" s="63" t="n"/>
      <c r="G1" s="63" t="n"/>
    </row>
    <row r="2" ht="48" customHeight="1" s="95">
      <c r="A2" s="27" t="inlineStr">
        <is>
          <t>Параметры сценария и выбор расчётного backend. Колонка Parameter используется Python-скриптом как машинное имя параметра.</t>
        </is>
      </c>
      <c r="B2" s="63" t="n"/>
      <c r="C2" s="63" t="n"/>
      <c r="D2" s="63" t="n"/>
      <c r="E2" s="63" t="n"/>
      <c r="F2" s="63" t="n"/>
      <c r="G2" s="63" t="n"/>
    </row>
    <row r="4" ht="28" customHeight="1" s="95">
      <c r="A4" s="40" t="inlineStr">
        <is>
          <t>Блок</t>
        </is>
      </c>
      <c r="B4" s="41" t="inlineStr">
        <is>
          <t>Parameter</t>
        </is>
      </c>
      <c r="C4" s="41" t="inlineStr">
        <is>
          <t>Value</t>
        </is>
      </c>
      <c r="D4" s="41" t="inlineStr">
        <is>
          <t>Units</t>
        </is>
      </c>
      <c r="E4" s="41" t="inlineStr">
        <is>
          <t>Физический смысл / пояснение</t>
        </is>
      </c>
      <c r="F4" s="41" t="inlineStr">
        <is>
          <t>PFLOTRAN / переменная</t>
        </is>
      </c>
      <c r="G4" s="42" t="inlineStr">
        <is>
          <t>Примечание</t>
        </is>
      </c>
    </row>
    <row r="5">
      <c r="A5" s="43" t="inlineStr">
        <is>
          <t>Проект</t>
        </is>
      </c>
      <c r="B5" s="44" t="inlineStr">
        <is>
          <t>project_name</t>
        </is>
      </c>
      <c r="C5" s="68" t="inlineStr">
        <is>
          <t>demo_richards_soil_column</t>
        </is>
      </c>
      <c r="D5" s="44" t="inlineStr">
        <is>
          <t>-</t>
        </is>
      </c>
      <c r="E5" s="44" t="inlineStr">
        <is>
          <t>Имя сценария. Используется для имени папки и отчётов.</t>
        </is>
      </c>
      <c r="F5" s="44" t="inlineStr">
        <is>
          <t>Python wrapper</t>
        </is>
      </c>
      <c r="G5" s="46" t="inlineStr">
        <is>
          <t>Можно заменить на любое ASCII-имя без пробелов.</t>
        </is>
      </c>
    </row>
    <row r="6">
      <c r="A6" s="43" t="inlineStr">
        <is>
          <t>Проект</t>
        </is>
      </c>
      <c r="B6" s="44" t="inlineStr">
        <is>
          <t>run_directory</t>
        </is>
      </c>
      <c r="C6" s="68" t="inlineStr">
        <is>
          <t>runs/demo_richards</t>
        </is>
      </c>
      <c r="D6" s="44" t="inlineStr">
        <is>
          <t>-</t>
        </is>
      </c>
      <c r="E6" s="44" t="inlineStr">
        <is>
          <t>Рабочая папка, куда будут записаны pflotran.in, CSV forcing и выходные файлы.</t>
        </is>
      </c>
      <c r="F6" s="44" t="inlineStr">
        <is>
          <t>workdir</t>
        </is>
      </c>
      <c r="G6" s="46" t="inlineStr">
        <is>
          <t>Относительно папки проекта.</t>
        </is>
      </c>
    </row>
    <row r="7">
      <c r="A7" s="43" t="inlineStr">
        <is>
          <t>Проект</t>
        </is>
      </c>
      <c r="B7" s="44" t="inlineStr">
        <is>
          <t>output_prefix</t>
        </is>
      </c>
      <c r="C7" s="68" t="inlineStr">
        <is>
          <t>pflotran</t>
        </is>
      </c>
      <c r="D7" s="44" t="inlineStr">
        <is>
          <t>-</t>
        </is>
      </c>
      <c r="E7" s="44" t="inlineStr">
        <is>
          <t>Префикс входного/выходного файла PFLOTRAN.</t>
        </is>
      </c>
      <c r="F7" s="44" t="inlineStr">
        <is>
          <t>-pflotranin / input deck</t>
        </is>
      </c>
      <c r="G7" s="46" t="inlineStr">
        <is>
          <t>Для простоты используется pflotran.in.</t>
        </is>
      </c>
    </row>
    <row r="8">
      <c r="A8" s="43" t="inlineStr">
        <is>
          <t>Проект</t>
        </is>
      </c>
      <c r="B8" s="44" t="inlineStr">
        <is>
          <t>backend</t>
        </is>
      </c>
      <c r="C8" s="68" t="inlineStr">
        <is>
          <t>PFLOTRAN</t>
        </is>
      </c>
      <c r="D8" s="44" t="inlineStr">
        <is>
          <t>-</t>
        </is>
      </c>
      <c r="E8" s="44" t="inlineStr">
        <is>
          <t>Сторонний конечно-объёмный расчётный движок.</t>
        </is>
      </c>
      <c r="F8" s="44" t="inlineStr">
        <is>
          <t>PFLOTRAN</t>
        </is>
      </c>
      <c r="G8" s="46" t="inlineStr">
        <is>
          <t>В будущем может быть FiPy/CustomFVM.</t>
        </is>
      </c>
    </row>
    <row r="9">
      <c r="A9" s="43" t="inlineStr">
        <is>
          <t>Проект</t>
        </is>
      </c>
      <c r="B9" s="44" t="inlineStr">
        <is>
          <t>model_mode</t>
        </is>
      </c>
      <c r="C9" s="68" t="inlineStr">
        <is>
          <t>RICHARDS</t>
        </is>
      </c>
      <c r="D9" s="44" t="inlineStr">
        <is>
          <t>-</t>
        </is>
      </c>
      <c r="E9" s="44" t="inlineStr">
        <is>
          <t>Режим расчёта: переменно-насыщенный влагоперенос по уравнению Ричардса.</t>
        </is>
      </c>
      <c r="F9" s="44" t="inlineStr">
        <is>
          <t>MODE RICHARDS</t>
        </is>
      </c>
      <c r="G9" s="46" t="inlineStr">
        <is>
          <t>Демонстрационный режим.</t>
        </is>
      </c>
    </row>
    <row r="10">
      <c r="A10" s="47" t="inlineStr">
        <is>
          <t>Проект</t>
        </is>
      </c>
      <c r="B10" s="48" t="inlineStr">
        <is>
          <t>dimension</t>
        </is>
      </c>
      <c r="C10" s="70" t="n">
        <v>1</v>
      </c>
      <c r="D10" s="48" t="inlineStr">
        <is>
          <t>-</t>
        </is>
      </c>
      <c r="E10" s="48" t="inlineStr">
        <is>
          <t>Размерность постановки. 1: вертикальная колонка; 2: x-z разрез; 3: x-y-z блок.</t>
        </is>
      </c>
      <c r="F10" s="48" t="inlineStr">
        <is>
          <t>GRID NXYZ</t>
        </is>
      </c>
      <c r="G10" s="50" t="inlineStr">
        <is>
          <t>Архитектурный параметр; сетка остаётся structured.</t>
        </is>
      </c>
    </row>
  </sheetData>
  <mergeCells count="2">
    <mergeCell ref="A2:G2"/>
    <mergeCell ref="A1:G1"/>
  </mergeCells>
  <dataValidations count="1">
    <dataValidation sqref="C10" showDropDown="0" showInputMessage="0" showErrorMessage="0" allowBlank="0" type="list">
      <formula1>"1,2,3"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style="95" min="1" max="1"/>
    <col width="28" customWidth="1" style="95" min="2" max="2"/>
    <col width="20" customWidth="1" style="95" min="3" max="3"/>
    <col width="16" customWidth="1" style="95" min="4" max="4"/>
    <col width="58" customWidth="1" style="95" min="5" max="5"/>
    <col width="34" customWidth="1" style="95" min="6" max="6"/>
    <col width="48" customWidth="1" style="95" min="7" max="7"/>
  </cols>
  <sheetData>
    <row r="1" ht="24" customHeight="1" s="95">
      <c r="A1" s="9" t="inlineStr">
        <is>
          <t>02_Domain — область и сетка</t>
        </is>
      </c>
      <c r="B1" s="63" t="n"/>
      <c r="C1" s="63" t="n"/>
      <c r="D1" s="63" t="n"/>
      <c r="E1" s="63" t="n"/>
      <c r="F1" s="63" t="n"/>
      <c r="G1" s="63" t="n"/>
    </row>
    <row r="2" ht="48" customHeight="1" s="95">
      <c r="A2" s="27" t="inlineStr">
        <is>
          <t>Определяет структурированную сетку. Та же схема работает для 1D, 2D и 3D: меняются только NXYZ и размеры.</t>
        </is>
      </c>
      <c r="B2" s="63" t="n"/>
      <c r="C2" s="63" t="n"/>
      <c r="D2" s="63" t="n"/>
      <c r="E2" s="63" t="n"/>
      <c r="F2" s="63" t="n"/>
      <c r="G2" s="63" t="n"/>
    </row>
    <row r="4" ht="28" customHeight="1" s="95">
      <c r="A4" s="40" t="inlineStr">
        <is>
          <t>Блок</t>
        </is>
      </c>
      <c r="B4" s="41" t="inlineStr">
        <is>
          <t>Parameter</t>
        </is>
      </c>
      <c r="C4" s="41" t="inlineStr">
        <is>
          <t>Value</t>
        </is>
      </c>
      <c r="D4" s="41" t="inlineStr">
        <is>
          <t>Units</t>
        </is>
      </c>
      <c r="E4" s="41" t="inlineStr">
        <is>
          <t>Физический смысл / пояснение</t>
        </is>
      </c>
      <c r="F4" s="41" t="inlineStr">
        <is>
          <t>PFLOTRAN / переменная</t>
        </is>
      </c>
      <c r="G4" s="42" t="inlineStr">
        <is>
          <t>Примечание</t>
        </is>
      </c>
    </row>
    <row r="5">
      <c r="A5" s="43" t="inlineStr">
        <is>
          <t>Геометрия</t>
        </is>
      </c>
      <c r="B5" s="44" t="inlineStr">
        <is>
          <t>length_x_m</t>
        </is>
      </c>
      <c r="C5" s="68" t="n">
        <v>1</v>
      </c>
      <c r="D5" s="44" t="inlineStr">
        <is>
          <t>m</t>
        </is>
      </c>
      <c r="E5" s="44" t="inlineStr">
        <is>
          <t>Длина области по оси X. Для 1D используется как единичная площадь расчёта.</t>
        </is>
      </c>
      <c r="F5" s="44" t="inlineStr">
        <is>
          <t>GRID / DXYZ</t>
        </is>
      </c>
      <c r="G5" s="46" t="inlineStr">
        <is>
          <t>Для 2D/3D можно задать реальную длину поля.</t>
        </is>
      </c>
    </row>
    <row r="6">
      <c r="A6" s="43" t="inlineStr">
        <is>
          <t>Геометрия</t>
        </is>
      </c>
      <c r="B6" s="44" t="inlineStr">
        <is>
          <t>length_y_m</t>
        </is>
      </c>
      <c r="C6" s="68" t="n">
        <v>1</v>
      </c>
      <c r="D6" s="44" t="inlineStr">
        <is>
          <t>m</t>
        </is>
      </c>
      <c r="E6" s="44" t="inlineStr">
        <is>
          <t>Длина области по оси Y. Для 1D/2D можно оставить 1 м.</t>
        </is>
      </c>
      <c r="F6" s="44" t="inlineStr">
        <is>
          <t>GRID / DXYZ</t>
        </is>
      </c>
      <c r="G6" s="46" t="str"/>
    </row>
    <row r="7">
      <c r="A7" s="43" t="inlineStr">
        <is>
          <t>Геометрия</t>
        </is>
      </c>
      <c r="B7" s="44" t="inlineStr">
        <is>
          <t>depth_z_m</t>
        </is>
      </c>
      <c r="C7" s="68" t="n">
        <v>2</v>
      </c>
      <c r="D7" s="44" t="inlineStr">
        <is>
          <t>m</t>
        </is>
      </c>
      <c r="E7" s="44" t="inlineStr">
        <is>
          <t>Глубина почвенного профиля. В PFLOTRAN z=0 снизу, z=depth сверху.</t>
        </is>
      </c>
      <c r="F7" s="44" t="inlineStr">
        <is>
          <t>GRID / DXYZ</t>
        </is>
      </c>
      <c r="G7" s="46" t="inlineStr">
        <is>
          <t>Положительная координата вверх.</t>
        </is>
      </c>
    </row>
    <row r="8">
      <c r="A8" s="43" t="inlineStr">
        <is>
          <t>Сетка</t>
        </is>
      </c>
      <c r="B8" s="44" t="inlineStr">
        <is>
          <t>nx</t>
        </is>
      </c>
      <c r="C8" s="68" t="n">
        <v>1</v>
      </c>
      <c r="D8" s="44" t="inlineStr">
        <is>
          <t>cell</t>
        </is>
      </c>
      <c r="E8" s="44" t="inlineStr">
        <is>
          <t>Число ячеек по X.</t>
        </is>
      </c>
      <c r="F8" s="44" t="inlineStr">
        <is>
          <t>GRID / NXYZ</t>
        </is>
      </c>
      <c r="G8" s="46" t="inlineStr">
        <is>
          <t>Для 1D оставить 1.</t>
        </is>
      </c>
    </row>
    <row r="9">
      <c r="A9" s="43" t="inlineStr">
        <is>
          <t>Сетка</t>
        </is>
      </c>
      <c r="B9" s="44" t="inlineStr">
        <is>
          <t>ny</t>
        </is>
      </c>
      <c r="C9" s="68" t="n">
        <v>1</v>
      </c>
      <c r="D9" s="44" t="inlineStr">
        <is>
          <t>cell</t>
        </is>
      </c>
      <c r="E9" s="44" t="inlineStr">
        <is>
          <t>Число ячеек по Y.</t>
        </is>
      </c>
      <c r="F9" s="44" t="inlineStr">
        <is>
          <t>GRID / NXYZ</t>
        </is>
      </c>
      <c r="G9" s="46" t="inlineStr">
        <is>
          <t>Для 1D/2D оставить 1.</t>
        </is>
      </c>
    </row>
    <row r="10">
      <c r="A10" s="43" t="inlineStr">
        <is>
          <t>Сетка</t>
        </is>
      </c>
      <c r="B10" s="44" t="inlineStr">
        <is>
          <t>nz</t>
        </is>
      </c>
      <c r="C10" s="68" t="n">
        <v>80</v>
      </c>
      <c r="D10" s="44" t="inlineStr">
        <is>
          <t>cell</t>
        </is>
      </c>
      <c r="E10" s="44" t="inlineStr">
        <is>
          <t>Число ячеек по глубине.</t>
        </is>
      </c>
      <c r="F10" s="44" t="inlineStr">
        <is>
          <t>GRID / NXYZ</t>
        </is>
      </c>
      <c r="G10" s="46" t="inlineStr">
        <is>
          <t>Чем больше, тем точнее фронт инфильтрации.</t>
        </is>
      </c>
    </row>
    <row r="11">
      <c r="A11" s="43" t="inlineStr">
        <is>
          <t>Сетка</t>
        </is>
      </c>
      <c r="B11" s="44" t="inlineStr">
        <is>
          <t>top_z_m</t>
        </is>
      </c>
      <c r="C11" s="68" t="n">
        <v>2</v>
      </c>
      <c r="D11" s="44" t="inlineStr">
        <is>
          <t>m</t>
        </is>
      </c>
      <c r="E11" s="44" t="inlineStr">
        <is>
          <t>Координата верхней границы в системе PFLOTRAN.</t>
        </is>
      </c>
      <c r="F11" s="44" t="inlineStr">
        <is>
          <t>REGION top</t>
        </is>
      </c>
      <c r="G11" s="46" t="inlineStr">
        <is>
          <t>Обычно равна depth_z_m.</t>
        </is>
      </c>
    </row>
    <row r="12">
      <c r="A12" s="47" t="inlineStr">
        <is>
          <t>Сетка</t>
        </is>
      </c>
      <c r="B12" s="48" t="inlineStr">
        <is>
          <t>bottom_z_m</t>
        </is>
      </c>
      <c r="C12" s="70" t="n">
        <v>0</v>
      </c>
      <c r="D12" s="48" t="inlineStr">
        <is>
          <t>m</t>
        </is>
      </c>
      <c r="E12" s="48" t="inlineStr">
        <is>
          <t>Координата нижней границы.</t>
        </is>
      </c>
      <c r="F12" s="48" t="inlineStr">
        <is>
          <t>REGION bottom</t>
        </is>
      </c>
      <c r="G12" s="50" t="inlineStr">
        <is>
          <t>Обычно 0.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style="95" min="1" max="1"/>
    <col width="28" customWidth="1" style="95" min="2" max="2"/>
    <col width="20" customWidth="1" style="95" min="3" max="3"/>
    <col width="16" customWidth="1" style="95" min="4" max="4"/>
    <col width="58" customWidth="1" style="95" min="5" max="5"/>
    <col width="34" customWidth="1" style="95" min="6" max="6"/>
    <col width="48" customWidth="1" style="95" min="7" max="7"/>
  </cols>
  <sheetData>
    <row r="1" ht="24" customHeight="1" s="95">
      <c r="A1" s="9" t="inlineStr">
        <is>
          <t>03_Soil — гидрофизические свойства почвы</t>
        </is>
      </c>
      <c r="B1" s="63" t="n"/>
      <c r="C1" s="63" t="n"/>
      <c r="D1" s="63" t="n"/>
      <c r="E1" s="63" t="n"/>
      <c r="F1" s="63" t="n"/>
      <c r="G1" s="63" t="n"/>
    </row>
    <row r="2" ht="48" customHeight="1" s="95">
      <c r="A2" s="27" t="inlineStr">
        <is>
          <t>Основные параметры van Genuchten–Mualem и конверсия из агрофизических единиц в PFLOTRAN.</t>
        </is>
      </c>
      <c r="B2" s="63" t="n"/>
      <c r="C2" s="63" t="n"/>
      <c r="D2" s="63" t="n"/>
      <c r="E2" s="63" t="n"/>
      <c r="F2" s="63" t="n"/>
      <c r="G2" s="63" t="n"/>
    </row>
    <row r="4" ht="28" customHeight="1" s="95">
      <c r="A4" s="40" t="inlineStr">
        <is>
          <t>Блок</t>
        </is>
      </c>
      <c r="B4" s="41" t="inlineStr">
        <is>
          <t>Parameter</t>
        </is>
      </c>
      <c r="C4" s="41" t="inlineStr">
        <is>
          <t>Value</t>
        </is>
      </c>
      <c r="D4" s="41" t="inlineStr">
        <is>
          <t>Units</t>
        </is>
      </c>
      <c r="E4" s="41" t="inlineStr">
        <is>
          <t>Физический смысл / пояснение</t>
        </is>
      </c>
      <c r="F4" s="41" t="inlineStr">
        <is>
          <t>PFLOTRAN / переменная</t>
        </is>
      </c>
      <c r="G4" s="42" t="inlineStr">
        <is>
          <t>Примечание</t>
        </is>
      </c>
    </row>
    <row r="5">
      <c r="A5" s="43" t="inlineStr">
        <is>
          <t>Пористость</t>
        </is>
      </c>
      <c r="B5" s="44" t="inlineStr">
        <is>
          <t>theta_s</t>
        </is>
      </c>
      <c r="C5" s="68" t="n">
        <v>0.43</v>
      </c>
      <c r="D5" s="44" t="inlineStr">
        <is>
          <t>m3/m3</t>
        </is>
      </c>
      <c r="E5" s="44" t="inlineStr">
        <is>
          <t>Насыщенная объёмная влажность; для PFLOTRAN используется как пористость.</t>
        </is>
      </c>
      <c r="F5" s="44" t="inlineStr">
        <is>
          <t>POROSITY</t>
        </is>
      </c>
      <c r="G5" s="46" t="inlineStr">
        <is>
          <t>Синтетическое значение для суглинка.</t>
        </is>
      </c>
    </row>
    <row r="6">
      <c r="A6" s="43" t="inlineStr">
        <is>
          <t>Пористость</t>
        </is>
      </c>
      <c r="B6" s="44" t="inlineStr">
        <is>
          <t>theta_r</t>
        </is>
      </c>
      <c r="C6" s="68" t="n">
        <v>0.045</v>
      </c>
      <c r="D6" s="44" t="inlineStr">
        <is>
          <t>m3/m3</t>
        </is>
      </c>
      <c r="E6" s="44" t="inlineStr">
        <is>
          <t>Остаточная объёмная влажность.</t>
        </is>
      </c>
      <c r="F6" s="44" t="inlineStr">
        <is>
          <t>LIQUID_RESIDUAL_SATURATION</t>
        </is>
      </c>
      <c r="G6" s="46" t="inlineStr">
        <is>
          <t>Конвертируется в остаточную насыщенность theta_r/theta_s.</t>
        </is>
      </c>
    </row>
    <row r="7">
      <c r="A7" s="43" t="inlineStr">
        <is>
          <t>van Genuchten</t>
        </is>
      </c>
      <c r="B7" s="44" t="inlineStr">
        <is>
          <t>vg_alpha_1_m</t>
        </is>
      </c>
      <c r="C7" s="68" t="n">
        <v>3.6</v>
      </c>
      <c r="D7" s="44" t="inlineStr">
        <is>
          <t>1/m</t>
        </is>
      </c>
      <c r="E7" s="44" t="inlineStr">
        <is>
          <t>Параметр α в форме почвенной гидравлики через напор h.</t>
        </is>
      </c>
      <c r="F7" s="44" t="inlineStr">
        <is>
          <t>ALPHA</t>
        </is>
      </c>
      <c r="G7" s="46" t="inlineStr">
        <is>
          <t>Конвертируется в 1/Pa: alpha/(rho*g).</t>
        </is>
      </c>
    </row>
    <row r="8">
      <c r="A8" s="43" t="inlineStr">
        <is>
          <t>van Genuchten</t>
        </is>
      </c>
      <c r="B8" s="44" t="inlineStr">
        <is>
          <t>vg_n</t>
        </is>
      </c>
      <c r="C8" s="68" t="n">
        <v>1.56</v>
      </c>
      <c r="D8" s="44" t="inlineStr">
        <is>
          <t>-</t>
        </is>
      </c>
      <c r="E8" s="44" t="inlineStr">
        <is>
          <t>Параметр формы кривой водоудерживания.</t>
        </is>
      </c>
      <c r="F8" s="44" t="inlineStr">
        <is>
          <t>M</t>
        </is>
      </c>
      <c r="G8" s="46" t="inlineStr">
        <is>
          <t>PFLOTRAN принимает M; скрипт считает M=1-1/n.</t>
        </is>
      </c>
    </row>
    <row r="9">
      <c r="A9" s="43" t="inlineStr">
        <is>
          <t>Гидропроводность</t>
        </is>
      </c>
      <c r="B9" s="44" t="inlineStr">
        <is>
          <t>ksat_m_s</t>
        </is>
      </c>
      <c r="C9" s="68" t="n">
        <v>1e-06</v>
      </c>
      <c r="D9" s="44" t="inlineStr">
        <is>
          <t>m/s</t>
        </is>
      </c>
      <c r="E9" s="44" t="inlineStr">
        <is>
          <t>Насыщенная гидравлическая проводимость.</t>
        </is>
      </c>
      <c r="F9" s="44" t="inlineStr">
        <is>
          <t>PERMEABILITY</t>
        </is>
      </c>
      <c r="G9" s="46" t="inlineStr">
        <is>
          <t>Конвертируется в intrinsic permeability: k=Ks*mu/(rho*g).</t>
        </is>
      </c>
    </row>
    <row r="10">
      <c r="A10" s="43" t="inlineStr">
        <is>
          <t>Гидропроводность</t>
        </is>
      </c>
      <c r="B10" s="44" t="inlineStr">
        <is>
          <t>anisotropy_x</t>
        </is>
      </c>
      <c r="C10" s="68" t="n">
        <v>1</v>
      </c>
      <c r="D10" s="44" t="inlineStr">
        <is>
          <t>-</t>
        </is>
      </c>
      <c r="E10" s="44" t="inlineStr">
        <is>
          <t>Множитель Ksat по X относительно вертикальной Ksat.</t>
        </is>
      </c>
      <c r="F10" s="44" t="inlineStr">
        <is>
          <t>PERM_X</t>
        </is>
      </c>
      <c r="G10" s="46" t="inlineStr">
        <is>
          <t>Для изотропной почвы 1.</t>
        </is>
      </c>
    </row>
    <row r="11">
      <c r="A11" s="43" t="inlineStr">
        <is>
          <t>Гидропроводность</t>
        </is>
      </c>
      <c r="B11" s="44" t="inlineStr">
        <is>
          <t>anisotropy_y</t>
        </is>
      </c>
      <c r="C11" s="68" t="n">
        <v>1</v>
      </c>
      <c r="D11" s="44" t="inlineStr">
        <is>
          <t>-</t>
        </is>
      </c>
      <c r="E11" s="44" t="inlineStr">
        <is>
          <t>Множитель Ksat по Y относительно вертикальной Ksat.</t>
        </is>
      </c>
      <c r="F11" s="44" t="inlineStr">
        <is>
          <t>PERM_Y</t>
        </is>
      </c>
      <c r="G11" s="46" t="inlineStr">
        <is>
          <t>Для изотропной почвы 1.</t>
        </is>
      </c>
    </row>
    <row r="12">
      <c r="A12" s="43" t="inlineStr">
        <is>
          <t>Гидропроводность</t>
        </is>
      </c>
      <c r="B12" s="44" t="inlineStr">
        <is>
          <t>anisotropy_z</t>
        </is>
      </c>
      <c r="C12" s="68" t="n">
        <v>1</v>
      </c>
      <c r="D12" s="44" t="inlineStr">
        <is>
          <t>-</t>
        </is>
      </c>
      <c r="E12" s="44" t="inlineStr">
        <is>
          <t>Множитель Ksat по Z относительно вертикальной Ksat.</t>
        </is>
      </c>
      <c r="F12" s="44" t="inlineStr">
        <is>
          <t>PERM_Z</t>
        </is>
      </c>
      <c r="G12" s="46" t="inlineStr">
        <is>
          <t>Для изотропной почвы 1.</t>
        </is>
      </c>
    </row>
    <row r="13">
      <c r="A13" s="43" t="inlineStr">
        <is>
          <t>Почва</t>
        </is>
      </c>
      <c r="B13" s="44" t="inlineStr">
        <is>
          <t>tortuosity</t>
        </is>
      </c>
      <c r="C13" s="68" t="n">
        <v>0.5</v>
      </c>
      <c r="D13" s="44" t="inlineStr">
        <is>
          <t>-</t>
        </is>
      </c>
      <c r="E13" s="44" t="inlineStr">
        <is>
          <t>Извилистость порового пространства. Для чистого влагопереноса влияет слабо, но требуется в MATERIAL_PROPERTY.</t>
        </is>
      </c>
      <c r="F13" s="44" t="inlineStr">
        <is>
          <t>TORTUOSITY</t>
        </is>
      </c>
      <c r="G13" s="46" t="inlineStr">
        <is>
          <t>Типовое демонстрационное значение.</t>
        </is>
      </c>
    </row>
    <row r="14">
      <c r="A14" s="43" t="inlineStr">
        <is>
          <t>Жидкость</t>
        </is>
      </c>
      <c r="B14" s="44" t="inlineStr">
        <is>
          <t>rho_water_kg_m3</t>
        </is>
      </c>
      <c r="C14" s="68" t="n">
        <v>997</v>
      </c>
      <c r="D14" s="44" t="inlineStr">
        <is>
          <t>kg/m3</t>
        </is>
      </c>
      <c r="E14" s="44" t="inlineStr">
        <is>
          <t>Плотность воды для перевода напора/давления и Ksat/permeability.</t>
        </is>
      </c>
      <c r="F14" s="44" t="inlineStr">
        <is>
          <t>conversion</t>
        </is>
      </c>
      <c r="G14" s="46" t="inlineStr">
        <is>
          <t>20 °C.</t>
        </is>
      </c>
    </row>
    <row r="15">
      <c r="A15" s="43" t="inlineStr">
        <is>
          <t>Жидкость</t>
        </is>
      </c>
      <c r="B15" s="44" t="inlineStr">
        <is>
          <t>mu_water_pa_s</t>
        </is>
      </c>
      <c r="C15" s="68" t="n">
        <v>0.001002</v>
      </c>
      <c r="D15" s="44" t="inlineStr">
        <is>
          <t>Pa*s</t>
        </is>
      </c>
      <c r="E15" s="44" t="inlineStr">
        <is>
          <t>Динамическая вязкость воды.</t>
        </is>
      </c>
      <c r="F15" s="44" t="inlineStr">
        <is>
          <t>conversion</t>
        </is>
      </c>
      <c r="G15" s="46" t="inlineStr">
        <is>
          <t>20 °C.</t>
        </is>
      </c>
    </row>
    <row r="16">
      <c r="A16" s="47" t="inlineStr">
        <is>
          <t>Жидкость</t>
        </is>
      </c>
      <c r="B16" s="48" t="inlineStr">
        <is>
          <t>gravity_m_s2</t>
        </is>
      </c>
      <c r="C16" s="70" t="n">
        <v>9.806649999999999</v>
      </c>
      <c r="D16" s="48" t="inlineStr">
        <is>
          <t>m/s2</t>
        </is>
      </c>
      <c r="E16" s="48" t="inlineStr">
        <is>
          <t>Ускорение свободного падения.</t>
        </is>
      </c>
      <c r="F16" s="48" t="inlineStr">
        <is>
          <t>conversion</t>
        </is>
      </c>
      <c r="G16" s="50" t="str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style="95" min="1" max="1"/>
    <col width="28" customWidth="1" style="95" min="2" max="2"/>
    <col width="20" customWidth="1" style="95" min="3" max="3"/>
    <col width="16" customWidth="1" style="95" min="4" max="4"/>
    <col width="58" customWidth="1" style="95" min="5" max="5"/>
    <col width="34" customWidth="1" style="95" min="6" max="6"/>
    <col width="48" customWidth="1" style="95" min="7" max="7"/>
  </cols>
  <sheetData>
    <row r="1" ht="24" customHeight="1" s="95">
      <c r="A1" s="9" t="inlineStr">
        <is>
          <t>04_Initial_BC — начальные и граничные условия</t>
        </is>
      </c>
      <c r="B1" s="63" t="n"/>
      <c r="C1" s="63" t="n"/>
      <c r="D1" s="63" t="n"/>
      <c r="E1" s="63" t="n"/>
      <c r="F1" s="63" t="n"/>
      <c r="G1" s="63" t="n"/>
    </row>
    <row r="2" ht="48" customHeight="1" s="95">
      <c r="A2" s="27" t="inlineStr">
        <is>
          <t>Библиотека условий на верхней, нижней и боковых границах. В текущем demo активны top flux и bottom hydrostatic/no-flow.</t>
        </is>
      </c>
      <c r="B2" s="63" t="n"/>
      <c r="C2" s="63" t="n"/>
      <c r="D2" s="63" t="n"/>
      <c r="E2" s="63" t="n"/>
      <c r="F2" s="63" t="n"/>
      <c r="G2" s="63" t="n"/>
    </row>
    <row r="4" ht="28" customHeight="1" s="95">
      <c r="A4" s="40" t="inlineStr">
        <is>
          <t>Блок</t>
        </is>
      </c>
      <c r="B4" s="41" t="inlineStr">
        <is>
          <t>Parameter</t>
        </is>
      </c>
      <c r="C4" s="41" t="inlineStr">
        <is>
          <t>Value</t>
        </is>
      </c>
      <c r="D4" s="41" t="inlineStr">
        <is>
          <t>Units</t>
        </is>
      </c>
      <c r="E4" s="41" t="inlineStr">
        <is>
          <t>Физический смысл / пояснение</t>
        </is>
      </c>
      <c r="F4" s="41" t="inlineStr">
        <is>
          <t>PFLOTRAN / переменная</t>
        </is>
      </c>
      <c r="G4" s="42" t="inlineStr">
        <is>
          <t>Примечание</t>
        </is>
      </c>
    </row>
    <row r="5">
      <c r="A5" s="43" t="inlineStr">
        <is>
          <t>Начальные условия</t>
        </is>
      </c>
      <c r="B5" s="44" t="inlineStr">
        <is>
          <t>initial_condition_type</t>
        </is>
      </c>
      <c r="C5" s="68" t="inlineStr">
        <is>
          <t>HYDROSTATIC</t>
        </is>
      </c>
      <c r="D5" s="44" t="inlineStr">
        <is>
          <t>-</t>
        </is>
      </c>
      <c r="E5" s="44" t="inlineStr">
        <is>
          <t>Тип начального условия. В демонстрации — гидростатическое давление.</t>
        </is>
      </c>
      <c r="F5" s="44" t="inlineStr">
        <is>
          <t>FLOW_CONDITION initial</t>
        </is>
      </c>
      <c r="G5" s="46" t="inlineStr">
        <is>
          <t>Другие варианты реализуются в будущих адаптерах.</t>
        </is>
      </c>
    </row>
    <row r="6">
      <c r="A6" s="43" t="inlineStr">
        <is>
          <t>Начальные условия</t>
        </is>
      </c>
      <c r="B6" s="44" t="inlineStr">
        <is>
          <t>initial_liquid_pressure_pa</t>
        </is>
      </c>
      <c r="C6" s="68" t="n">
        <v>101325</v>
      </c>
      <c r="D6" s="44" t="inlineStr">
        <is>
          <t>Pa</t>
        </is>
      </c>
      <c r="E6" s="44" t="inlineStr">
        <is>
          <t>Опорное давление жидкости.</t>
        </is>
      </c>
      <c r="F6" s="44" t="inlineStr">
        <is>
          <t>LIQUID_PRESSURE</t>
        </is>
      </c>
      <c r="G6" s="46" t="inlineStr">
        <is>
          <t>Атмосферное давление как безопасная демонстрация.</t>
        </is>
      </c>
    </row>
    <row r="7">
      <c r="A7" s="43" t="inlineStr">
        <is>
          <t>Верхняя граница</t>
        </is>
      </c>
      <c r="B7" s="44" t="inlineStr">
        <is>
          <t>top_bc_type</t>
        </is>
      </c>
      <c r="C7" s="68" t="inlineStr">
        <is>
          <t>LIQUID_FLUX_NEUMANN</t>
        </is>
      </c>
      <c r="D7" s="44" t="inlineStr">
        <is>
          <t>-</t>
        </is>
      </c>
      <c r="E7" s="44" t="inlineStr">
        <is>
          <t>Тип верхнего условия. Скрипт рассчитывает средний поток по данным Weather.</t>
        </is>
      </c>
      <c r="F7" s="44" t="inlineStr">
        <is>
          <t>FLOW_CONDITION top</t>
        </is>
      </c>
      <c r="G7" s="46" t="inlineStr">
        <is>
          <t>Положительный поток трактуется как вход воды в область.</t>
        </is>
      </c>
    </row>
    <row r="8">
      <c r="A8" s="43" t="inlineStr">
        <is>
          <t>Верхняя граница</t>
        </is>
      </c>
      <c r="B8" s="44" t="inlineStr">
        <is>
          <t>top_flux_override_m_s</t>
        </is>
      </c>
      <c r="C8" s="68" t="str"/>
      <c r="D8" s="44" t="inlineStr">
        <is>
          <t>m/s</t>
        </is>
      </c>
      <c r="E8" s="44" t="inlineStr">
        <is>
          <t>Если задано число, оно принудительно заменит поток из Weather.</t>
        </is>
      </c>
      <c r="F8" s="44" t="inlineStr">
        <is>
          <t>LIQUID_FLUX</t>
        </is>
      </c>
      <c r="G8" s="46" t="inlineStr">
        <is>
          <t>Оставьте пустым для расчёта по листу 10_Weather_Daily.</t>
        </is>
      </c>
    </row>
    <row r="9">
      <c r="A9" s="43" t="inlineStr">
        <is>
          <t>Верхняя граница</t>
        </is>
      </c>
      <c r="B9" s="44" t="inlineStr">
        <is>
          <t>ponding_enabled</t>
        </is>
      </c>
      <c r="C9" s="68" t="b">
        <v>1</v>
      </c>
      <c r="D9" s="44" t="inlineStr">
        <is>
          <t>-</t>
        </is>
      </c>
      <c r="E9" s="44" t="inlineStr">
        <is>
          <t>Флаг будущего переключения flux/head при подпоре на поверхности.</t>
        </is>
      </c>
      <c r="F9" s="44" t="inlineStr">
        <is>
          <t>future atmospheric BC</t>
        </is>
      </c>
      <c r="G9" s="46" t="inlineStr">
        <is>
          <t>В демонстрационном PFLOTRAN input пока не активен.</t>
        </is>
      </c>
    </row>
    <row r="10">
      <c r="A10" s="43" t="inlineStr">
        <is>
          <t>Верхняя граница</t>
        </is>
      </c>
      <c r="B10" s="44" t="inlineStr">
        <is>
          <t>runoff_enabled</t>
        </is>
      </c>
      <c r="C10" s="68" t="b">
        <v>1</v>
      </c>
      <c r="D10" s="44" t="inlineStr">
        <is>
          <t>-</t>
        </is>
      </c>
      <c r="E10" s="44" t="inlineStr">
        <is>
          <t>Флаг будущего расчёта поверхностного стока при превышении инфильтрационной способности.</t>
        </is>
      </c>
      <c r="F10" s="44" t="inlineStr">
        <is>
          <t>future surface balance</t>
        </is>
      </c>
      <c r="G10" s="46" t="inlineStr">
        <is>
          <t>Пока только параметр сценария.</t>
        </is>
      </c>
    </row>
    <row r="11">
      <c r="A11" s="43" t="inlineStr">
        <is>
          <t>Нижняя граница</t>
        </is>
      </c>
      <c r="B11" s="44" t="inlineStr">
        <is>
          <t>bottom_bc_type</t>
        </is>
      </c>
      <c r="C11" s="68" t="inlineStr">
        <is>
          <t>HYDROSTATIC</t>
        </is>
      </c>
      <c r="D11" s="44" t="inlineStr">
        <is>
          <t>-</t>
        </is>
      </c>
      <c r="E11" s="44" t="inlineStr">
        <is>
          <t>Тип нижнего условия: HYDROSTATIC, CONSTANT_PRESSURE или NO_FLOW.</t>
        </is>
      </c>
      <c r="F11" s="44" t="inlineStr">
        <is>
          <t>BOUNDARY_CONDITION bottom</t>
        </is>
      </c>
      <c r="G11" s="46" t="inlineStr">
        <is>
          <t>Демонстрация использует HYDROSTATIC.</t>
        </is>
      </c>
    </row>
    <row r="12">
      <c r="A12" s="43" t="inlineStr">
        <is>
          <t>Нижняя граница</t>
        </is>
      </c>
      <c r="B12" s="44" t="inlineStr">
        <is>
          <t>bottom_liquid_pressure_pa</t>
        </is>
      </c>
      <c r="C12" s="68" t="n">
        <v>101325</v>
      </c>
      <c r="D12" s="44" t="inlineStr">
        <is>
          <t>Pa</t>
        </is>
      </c>
      <c r="E12" s="44" t="inlineStr">
        <is>
          <t>Давление нижней границы для HYDROSTATIC/CONSTANT_PRESSURE.</t>
        </is>
      </c>
      <c r="F12" s="44" t="inlineStr">
        <is>
          <t>LIQUID_PRESSURE</t>
        </is>
      </c>
      <c r="G12" s="46" t="str"/>
    </row>
    <row r="13">
      <c r="A13" s="47" t="inlineStr">
        <is>
          <t>Боковые границы</t>
        </is>
      </c>
      <c r="B13" s="48" t="inlineStr">
        <is>
          <t>lateral_bc_type</t>
        </is>
      </c>
      <c r="C13" s="70" t="inlineStr">
        <is>
          <t>NO_FLOW</t>
        </is>
      </c>
      <c r="D13" s="48" t="inlineStr">
        <is>
          <t>-</t>
        </is>
      </c>
      <c r="E13" s="48" t="inlineStr">
        <is>
          <t>Боковые границы в 2D/3D. По умолчанию отсутствие BC означает no-flow.</t>
        </is>
      </c>
      <c r="F13" s="48" t="inlineStr">
        <is>
          <t>default no-flow</t>
        </is>
      </c>
      <c r="G13" s="50" t="inlineStr">
        <is>
          <t>Для каналов/водоёмов нужны отдельные patches.</t>
        </is>
      </c>
    </row>
  </sheetData>
  <mergeCells count="2">
    <mergeCell ref="A2:G2"/>
    <mergeCell ref="A1:G1"/>
  </mergeCells>
  <dataValidations count="1">
    <dataValidation sqref="C11" showDropDown="0" showInputMessage="0" showErrorMessage="0" allowBlank="0" type="list">
      <formula1>"HYDROSTATIC,CONSTANT_PRESSURE,NO_FLOW"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style="95" min="1" max="1"/>
    <col width="28" customWidth="1" style="95" min="2" max="2"/>
    <col width="20" customWidth="1" style="95" min="3" max="3"/>
    <col width="16" customWidth="1" style="95" min="4" max="4"/>
    <col width="58" customWidth="1" style="95" min="5" max="5"/>
    <col width="34" customWidth="1" style="95" min="6" max="6"/>
    <col width="48" customWidth="1" style="95" min="7" max="7"/>
  </cols>
  <sheetData>
    <row r="1" ht="24" customHeight="1" s="95">
      <c r="A1" s="9" t="inlineStr">
        <is>
          <t>05_Time_Forcing — время и форсинг</t>
        </is>
      </c>
      <c r="B1" s="63" t="n"/>
      <c r="C1" s="63" t="n"/>
      <c r="D1" s="63" t="n"/>
      <c r="E1" s="63" t="n"/>
      <c r="F1" s="63" t="n"/>
      <c r="G1" s="63" t="n"/>
    </row>
    <row r="2" ht="48" customHeight="1" s="95">
      <c r="A2" s="27" t="inlineStr">
        <is>
          <t>Задаёт период расчёта и способ свёртки суточного форсинга в верхний поток для демонстрационного PFLOTRAN input.</t>
        </is>
      </c>
      <c r="B2" s="63" t="n"/>
      <c r="C2" s="63" t="n"/>
      <c r="D2" s="63" t="n"/>
      <c r="E2" s="63" t="n"/>
      <c r="F2" s="63" t="n"/>
      <c r="G2" s="63" t="n"/>
    </row>
    <row r="4" ht="28" customHeight="1" s="95">
      <c r="A4" s="40" t="inlineStr">
        <is>
          <t>Блок</t>
        </is>
      </c>
      <c r="B4" s="41" t="inlineStr">
        <is>
          <t>Parameter</t>
        </is>
      </c>
      <c r="C4" s="41" t="inlineStr">
        <is>
          <t>Value</t>
        </is>
      </c>
      <c r="D4" s="41" t="inlineStr">
        <is>
          <t>Units</t>
        </is>
      </c>
      <c r="E4" s="41" t="inlineStr">
        <is>
          <t>Физический смысл / пояснение</t>
        </is>
      </c>
      <c r="F4" s="41" t="inlineStr">
        <is>
          <t>PFLOTRAN / переменная</t>
        </is>
      </c>
      <c r="G4" s="42" t="inlineStr">
        <is>
          <t>Примечание</t>
        </is>
      </c>
    </row>
    <row r="5">
      <c r="A5" s="43" t="inlineStr">
        <is>
          <t>Время</t>
        </is>
      </c>
      <c r="B5" s="44" t="inlineStr">
        <is>
          <t>start_date</t>
        </is>
      </c>
      <c r="C5" s="68" t="inlineStr">
        <is>
          <t>2026-05-01</t>
        </is>
      </c>
      <c r="D5" s="44" t="inlineStr">
        <is>
          <t>date</t>
        </is>
      </c>
      <c r="E5" s="44" t="inlineStr">
        <is>
          <t>Дата начала сценария.</t>
        </is>
      </c>
      <c r="F5" s="44" t="inlineStr">
        <is>
          <t>Python time grid</t>
        </is>
      </c>
      <c r="G5" s="46" t="str"/>
    </row>
    <row r="6">
      <c r="A6" s="43" t="inlineStr">
        <is>
          <t>Время</t>
        </is>
      </c>
      <c r="B6" s="44" t="inlineStr">
        <is>
          <t>end_date</t>
        </is>
      </c>
      <c r="C6" s="68" t="inlineStr">
        <is>
          <t>2026-05-08</t>
        </is>
      </c>
      <c r="D6" s="44" t="inlineStr">
        <is>
          <t>date</t>
        </is>
      </c>
      <c r="E6" s="44" t="inlineStr">
        <is>
          <t>Дата конца сценария. В демонстрации 7 суток.</t>
        </is>
      </c>
      <c r="F6" s="44" t="inlineStr">
        <is>
          <t>TIME FINAL_TIME</t>
        </is>
      </c>
      <c r="G6" s="46" t="inlineStr">
        <is>
          <t>Скрипт может брать final_time_days напрямую.</t>
        </is>
      </c>
    </row>
    <row r="7">
      <c r="A7" s="43" t="inlineStr">
        <is>
          <t>Время</t>
        </is>
      </c>
      <c r="B7" s="44" t="inlineStr">
        <is>
          <t>final_time_days</t>
        </is>
      </c>
      <c r="C7" s="68" t="n">
        <v>7</v>
      </c>
      <c r="D7" s="44" t="inlineStr">
        <is>
          <t>d</t>
        </is>
      </c>
      <c r="E7" s="44" t="inlineStr">
        <is>
          <t>Продолжительность расчёта PFLOTRAN.</t>
        </is>
      </c>
      <c r="F7" s="44" t="inlineStr">
        <is>
          <t>FINAL_TIME</t>
        </is>
      </c>
      <c r="G7" s="46" t="str"/>
    </row>
    <row r="8">
      <c r="A8" s="43" t="inlineStr">
        <is>
          <t>Время</t>
        </is>
      </c>
      <c r="B8" s="44" t="inlineStr">
        <is>
          <t>maximum_timestep_days</t>
        </is>
      </c>
      <c r="C8" s="68" t="n">
        <v>0.02</v>
      </c>
      <c r="D8" s="44" t="inlineStr">
        <is>
          <t>d</t>
        </is>
      </c>
      <c r="E8" s="44" t="inlineStr">
        <is>
          <t>Максимальный шаг PFLOTRAN. 0.02 сут ≈ 28.8 мин.</t>
        </is>
      </c>
      <c r="F8" s="44" t="inlineStr">
        <is>
          <t>MAXIMUM_TIMESTEP_SIZE</t>
        </is>
      </c>
      <c r="G8" s="46" t="inlineStr">
        <is>
          <t>Для фронта инфильтрации уменьшить.</t>
        </is>
      </c>
    </row>
    <row r="9">
      <c r="A9" s="43" t="inlineStr">
        <is>
          <t>Вывод</t>
        </is>
      </c>
      <c r="B9" s="44" t="inlineStr">
        <is>
          <t>output_interval_days</t>
        </is>
      </c>
      <c r="C9" s="68" t="n">
        <v>0.25</v>
      </c>
      <c r="D9" s="44" t="inlineStr">
        <is>
          <t>d</t>
        </is>
      </c>
      <c r="E9" s="44" t="inlineStr">
        <is>
          <t>Желаемый шаг вывода. В базовом input сейчас используется формат TECPLOT POINT.</t>
        </is>
      </c>
      <c r="F9" s="44" t="inlineStr">
        <is>
          <t>OUTPUT</t>
        </is>
      </c>
      <c r="G9" s="46" t="inlineStr">
        <is>
          <t>Дальше можно добавить PERIODIC output.</t>
        </is>
      </c>
    </row>
    <row r="10">
      <c r="A10" s="47" t="inlineStr">
        <is>
          <t>Форсинг</t>
        </is>
      </c>
      <c r="B10" s="48" t="inlineStr">
        <is>
          <t>forcing_mode</t>
        </is>
      </c>
      <c r="C10" s="70" t="inlineStr">
        <is>
          <t>daily_table_mean_flux</t>
        </is>
      </c>
      <c r="D10" s="48" t="inlineStr">
        <is>
          <t>-</t>
        </is>
      </c>
      <c r="E10" s="48" t="inlineStr">
        <is>
          <t>Как превращать Weather в PFLOTRAN BC. В demo берётся средний чистый поток.</t>
        </is>
      </c>
      <c r="F10" s="48" t="inlineStr">
        <is>
          <t>top flux</t>
        </is>
      </c>
      <c r="G10" s="50" t="inlineStr">
        <is>
          <t>P + irrigation - Epot.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style="95" min="1" max="1"/>
    <col width="28" customWidth="1" style="95" min="2" max="2"/>
    <col width="20" customWidth="1" style="95" min="3" max="3"/>
    <col width="16" customWidth="1" style="95" min="4" max="4"/>
    <col width="58" customWidth="1" style="95" min="5" max="5"/>
    <col width="34" customWidth="1" style="95" min="6" max="6"/>
    <col width="48" customWidth="1" style="95" min="7" max="7"/>
  </cols>
  <sheetData>
    <row r="1" ht="24" customHeight="1" s="95">
      <c r="A1" s="9" t="inlineStr">
        <is>
          <t>06_ET_Roots — внешний ET/T и корневое водопотребление</t>
        </is>
      </c>
      <c r="B1" s="63" t="n"/>
      <c r="C1" s="63" t="n"/>
      <c r="D1" s="63" t="n"/>
      <c r="E1" s="63" t="n"/>
      <c r="F1" s="63" t="n"/>
      <c r="G1" s="63" t="n"/>
    </row>
    <row r="2" ht="48" customHeight="1" s="95">
      <c r="A2" s="27" t="inlineStr">
        <is>
          <t>Контракт для подключения внешней модели испарения/транспирации и будущего source/sink по корням.</t>
        </is>
      </c>
      <c r="B2" s="63" t="n"/>
      <c r="C2" s="63" t="n"/>
      <c r="D2" s="63" t="n"/>
      <c r="E2" s="63" t="n"/>
      <c r="F2" s="63" t="n"/>
      <c r="G2" s="63" t="n"/>
    </row>
    <row r="4" ht="28" customHeight="1" s="95">
      <c r="A4" s="40" t="inlineStr">
        <is>
          <t>Блок</t>
        </is>
      </c>
      <c r="B4" s="41" t="inlineStr">
        <is>
          <t>Parameter</t>
        </is>
      </c>
      <c r="C4" s="41" t="inlineStr">
        <is>
          <t>Value</t>
        </is>
      </c>
      <c r="D4" s="41" t="inlineStr">
        <is>
          <t>Units</t>
        </is>
      </c>
      <c r="E4" s="41" t="inlineStr">
        <is>
          <t>Физический смысл / пояснение</t>
        </is>
      </c>
      <c r="F4" s="41" t="inlineStr">
        <is>
          <t>PFLOTRAN / переменная</t>
        </is>
      </c>
      <c r="G4" s="42" t="inlineStr">
        <is>
          <t>Примечание</t>
        </is>
      </c>
    </row>
    <row r="5">
      <c r="A5" s="43" t="inlineStr">
        <is>
          <t>ET</t>
        </is>
      </c>
      <c r="B5" s="44" t="inlineStr">
        <is>
          <t>external_et_model</t>
        </is>
      </c>
      <c r="C5" s="68" t="inlineStr">
        <is>
          <t>TABLE</t>
        </is>
      </c>
      <c r="D5" s="44" t="inlineStr">
        <is>
          <t>-</t>
        </is>
      </c>
      <c r="E5" s="44" t="inlineStr">
        <is>
          <t>Источник потенциального испарения и транспирации.</t>
        </is>
      </c>
      <c r="F5" s="44" t="inlineStr">
        <is>
          <t>Python ET adapter</t>
        </is>
      </c>
      <c r="G5" s="46" t="inlineStr">
        <is>
          <t>Можно заменить на FAO56/AquaCrop-like.</t>
        </is>
      </c>
    </row>
    <row r="6">
      <c r="A6" s="43" t="inlineStr">
        <is>
          <t>ET</t>
        </is>
      </c>
      <c r="B6" s="44" t="inlineStr">
        <is>
          <t>soil_evaporation_from_weather</t>
        </is>
      </c>
      <c r="C6" s="68" t="b">
        <v>1</v>
      </c>
      <c r="D6" s="44" t="inlineStr">
        <is>
          <t>-</t>
        </is>
      </c>
      <c r="E6" s="44" t="inlineStr">
        <is>
          <t>Использовать Epot из листа Weather для верхнего потока.</t>
        </is>
      </c>
      <c r="F6" s="44" t="inlineStr">
        <is>
          <t>top flux calculation</t>
        </is>
      </c>
      <c r="G6" s="46" t="str"/>
    </row>
    <row r="7">
      <c r="A7" s="43" t="inlineStr">
        <is>
          <t>Корни</t>
        </is>
      </c>
      <c r="B7" s="44" t="inlineStr">
        <is>
          <t>root_uptake_enabled</t>
        </is>
      </c>
      <c r="C7" s="68" t="b">
        <v>0</v>
      </c>
      <c r="D7" s="44" t="inlineStr">
        <is>
          <t>-</t>
        </is>
      </c>
      <c r="E7" s="44" t="inlineStr">
        <is>
          <t>Включать распределённое корневое водопотребление как source/sink.</t>
        </is>
      </c>
      <c r="F7" s="44" t="inlineStr">
        <is>
          <t>SOURCE_SINK future</t>
        </is>
      </c>
      <c r="G7" s="46" t="inlineStr">
        <is>
          <t>В demo выключено, чтобы input был минимально надёжен.</t>
        </is>
      </c>
    </row>
    <row r="8">
      <c r="A8" s="43" t="inlineStr">
        <is>
          <t>Корни</t>
        </is>
      </c>
      <c r="B8" s="44" t="inlineStr">
        <is>
          <t>root_depth_m</t>
        </is>
      </c>
      <c r="C8" s="68" t="n">
        <v>0.8</v>
      </c>
      <c r="D8" s="44" t="inlineStr">
        <is>
          <t>m</t>
        </is>
      </c>
      <c r="E8" s="44" t="inlineStr">
        <is>
          <t>Глубина корневой зоны от поверхности.</t>
        </is>
      </c>
      <c r="F8" s="44" t="inlineStr">
        <is>
          <t>root uptake mapper</t>
        </is>
      </c>
      <c r="G8" s="46" t="inlineStr">
        <is>
          <t>Используется будущим source mapper.</t>
        </is>
      </c>
    </row>
    <row r="9">
      <c r="A9" s="43" t="inlineStr">
        <is>
          <t>Корни</t>
        </is>
      </c>
      <c r="B9" s="44" t="inlineStr">
        <is>
          <t>root_distribution_type</t>
        </is>
      </c>
      <c r="C9" s="68" t="inlineStr">
        <is>
          <t>exponential</t>
        </is>
      </c>
      <c r="D9" s="44" t="inlineStr">
        <is>
          <t>-</t>
        </is>
      </c>
      <c r="E9" s="44" t="inlineStr">
        <is>
          <t>Тип распределения корней по глубине.</t>
        </is>
      </c>
      <c r="F9" s="44" t="inlineStr">
        <is>
          <t>root uptake mapper</t>
        </is>
      </c>
      <c r="G9" s="46" t="inlineStr">
        <is>
          <t>exponential / uniform / triangular.</t>
        </is>
      </c>
    </row>
    <row r="10">
      <c r="A10" s="47" t="inlineStr">
        <is>
          <t>Стресс</t>
        </is>
      </c>
      <c r="B10" s="48" t="inlineStr">
        <is>
          <t>water_stress_from_tact_tpot</t>
        </is>
      </c>
      <c r="C10" s="70" t="b">
        <v>1</v>
      </c>
      <c r="D10" s="48" t="inlineStr">
        <is>
          <t>-</t>
        </is>
      </c>
      <c r="E10" s="48" t="inlineStr">
        <is>
          <t>Водный стресс культуры рассчитывается как Tact/Tpot.</t>
        </is>
      </c>
      <c r="F10" s="48" t="inlineStr">
        <is>
          <t>crop coupling</t>
        </is>
      </c>
      <c r="G10" s="50" t="inlineStr">
        <is>
          <t>Контракт для внешней crop-модели.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style="95" min="1" max="1"/>
    <col width="28" customWidth="1" style="95" min="2" max="2"/>
    <col width="20" customWidth="1" style="95" min="3" max="3"/>
    <col width="16" customWidth="1" style="95" min="4" max="4"/>
    <col width="58" customWidth="1" style="95" min="5" max="5"/>
    <col width="34" customWidth="1" style="95" min="6" max="6"/>
    <col width="48" customWidth="1" style="95" min="7" max="7"/>
  </cols>
  <sheetData>
    <row r="1" ht="24" customHeight="1" s="95">
      <c r="A1" s="9" t="inlineStr">
        <is>
          <t>07_Irrigation_Drainage — полив и дренаж</t>
        </is>
      </c>
      <c r="B1" s="63" t="n"/>
      <c r="C1" s="63" t="n"/>
      <c r="D1" s="63" t="n"/>
      <c r="E1" s="63" t="n"/>
      <c r="F1" s="63" t="n"/>
      <c r="G1" s="63" t="n"/>
    </row>
    <row r="2" ht="48" customHeight="1" s="95">
      <c r="A2" s="27" t="inlineStr">
        <is>
          <t>Параметры полива и дренажа как отдельные модули. В demo полив входит в верхний поток, дренаж пока задан как контракт.</t>
        </is>
      </c>
      <c r="B2" s="63" t="n"/>
      <c r="C2" s="63" t="n"/>
      <c r="D2" s="63" t="n"/>
      <c r="E2" s="63" t="n"/>
      <c r="F2" s="63" t="n"/>
      <c r="G2" s="63" t="n"/>
    </row>
    <row r="4" ht="28" customHeight="1" s="95">
      <c r="A4" s="40" t="inlineStr">
        <is>
          <t>Блок</t>
        </is>
      </c>
      <c r="B4" s="41" t="inlineStr">
        <is>
          <t>Parameter</t>
        </is>
      </c>
      <c r="C4" s="41" t="inlineStr">
        <is>
          <t>Value</t>
        </is>
      </c>
      <c r="D4" s="41" t="inlineStr">
        <is>
          <t>Units</t>
        </is>
      </c>
      <c r="E4" s="41" t="inlineStr">
        <is>
          <t>Физический смысл / пояснение</t>
        </is>
      </c>
      <c r="F4" s="41" t="inlineStr">
        <is>
          <t>PFLOTRAN / переменная</t>
        </is>
      </c>
      <c r="G4" s="42" t="inlineStr">
        <is>
          <t>Примечание</t>
        </is>
      </c>
    </row>
    <row r="5">
      <c r="A5" s="43" t="inlineStr">
        <is>
          <t>Полив</t>
        </is>
      </c>
      <c r="B5" s="44" t="inlineStr">
        <is>
          <t>irrigation_mode</t>
        </is>
      </c>
      <c r="C5" s="68" t="inlineStr">
        <is>
          <t>TABLE</t>
        </is>
      </c>
      <c r="D5" s="44" t="inlineStr">
        <is>
          <t>-</t>
        </is>
      </c>
      <c r="E5" s="44" t="inlineStr">
        <is>
          <t>Режим полива: TABLE, THRESHOLD, NONE.</t>
        </is>
      </c>
      <c r="F5" s="44" t="inlineStr">
        <is>
          <t>top flux</t>
        </is>
      </c>
      <c r="G5" s="46" t="inlineStr">
        <is>
          <t>В demo берётся колонка irrigation_mm_day из Weather.</t>
        </is>
      </c>
    </row>
    <row r="6">
      <c r="A6" s="43" t="inlineStr">
        <is>
          <t>Полив</t>
        </is>
      </c>
      <c r="B6" s="44" t="inlineStr">
        <is>
          <t>max_irrigation_intensity_mm_h</t>
        </is>
      </c>
      <c r="C6" s="68" t="n">
        <v>8</v>
      </c>
      <c r="D6" s="44" t="inlineStr">
        <is>
          <t>mm/h</t>
        </is>
      </c>
      <c r="E6" s="44" t="inlineStr">
        <is>
          <t>Максимальная интенсивность подачи воды на поверхность.</t>
        </is>
      </c>
      <c r="F6" s="44" t="inlineStr">
        <is>
          <t>future atmospheric BC</t>
        </is>
      </c>
      <c r="G6" s="46" t="inlineStr">
        <is>
          <t>Для ограничения инфильтрации и runoff.</t>
        </is>
      </c>
    </row>
    <row r="7">
      <c r="A7" s="43" t="inlineStr">
        <is>
          <t>Полив</t>
        </is>
      </c>
      <c r="B7" s="44" t="inlineStr">
        <is>
          <t>application_efficiency</t>
        </is>
      </c>
      <c r="C7" s="68" t="n">
        <v>0.85</v>
      </c>
      <c r="D7" s="44" t="inlineStr">
        <is>
          <t>-</t>
        </is>
      </c>
      <c r="E7" s="44" t="inlineStr">
        <is>
          <t>КПД полива: часть нормы, доходящая до поверхности почвы.</t>
        </is>
      </c>
      <c r="F7" s="44" t="inlineStr">
        <is>
          <t>irrigation adapter</t>
        </is>
      </c>
      <c r="G7" s="46" t="inlineStr">
        <is>
          <t>В demo не применяется автоматически.</t>
        </is>
      </c>
    </row>
    <row r="8">
      <c r="A8" s="43" t="inlineStr">
        <is>
          <t>Дренаж</t>
        </is>
      </c>
      <c r="B8" s="44" t="inlineStr">
        <is>
          <t>drainage_enabled</t>
        </is>
      </c>
      <c r="C8" s="68" t="b">
        <v>0</v>
      </c>
      <c r="D8" s="44" t="inlineStr">
        <is>
          <t>-</t>
        </is>
      </c>
      <c r="E8" s="44" t="inlineStr">
        <is>
          <t>Включение дренажа.</t>
        </is>
      </c>
      <c r="F8" s="44" t="inlineStr">
        <is>
          <t>SOURCE_SINK / boundary future</t>
        </is>
      </c>
      <c r="G8" s="46" t="inlineStr">
        <is>
          <t>В demo выключено.</t>
        </is>
      </c>
    </row>
    <row r="9">
      <c r="A9" s="43" t="inlineStr">
        <is>
          <t>Дренаж</t>
        </is>
      </c>
      <c r="B9" s="44" t="inlineStr">
        <is>
          <t>drainage_type</t>
        </is>
      </c>
      <c r="C9" s="68" t="inlineStr">
        <is>
          <t>linear_sink</t>
        </is>
      </c>
      <c r="D9" s="44" t="inlineStr">
        <is>
          <t>-</t>
        </is>
      </c>
      <c r="E9" s="44" t="inlineStr">
        <is>
          <t>Модель дренажа: linear_sink, tile_drain, controlled_drainage.</t>
        </is>
      </c>
      <c r="F9" s="44" t="inlineStr">
        <is>
          <t>drain adapter</t>
        </is>
      </c>
      <c r="G9" s="46" t="str"/>
    </row>
    <row r="10">
      <c r="A10" s="43" t="inlineStr">
        <is>
          <t>Дренаж</t>
        </is>
      </c>
      <c r="B10" s="44" t="inlineStr">
        <is>
          <t>drain_elevation_m</t>
        </is>
      </c>
      <c r="C10" s="68" t="n">
        <v>0.7</v>
      </c>
      <c r="D10" s="44" t="inlineStr">
        <is>
          <t>m</t>
        </is>
      </c>
      <c r="E10" s="44" t="inlineStr">
        <is>
          <t>Координата дрены в PFLOTRAN-системе z, считая от нижней границы.</t>
        </is>
      </c>
      <c r="F10" s="44" t="inlineStr">
        <is>
          <t>drain source/sink</t>
        </is>
      </c>
      <c r="G10" s="46" t="inlineStr">
        <is>
          <t>Для depth=2 м соответствует глубине 1.3 м от поверхности.</t>
        </is>
      </c>
    </row>
    <row r="11">
      <c r="A11" s="43" t="inlineStr">
        <is>
          <t>Дренаж</t>
        </is>
      </c>
      <c r="B11" s="44" t="inlineStr">
        <is>
          <t>drain_conductance_1_s</t>
        </is>
      </c>
      <c r="C11" s="68" t="n">
        <v>1e-06</v>
      </c>
      <c r="D11" s="44" t="inlineStr">
        <is>
          <t>1/s</t>
        </is>
      </c>
      <c r="E11" s="44" t="inlineStr">
        <is>
          <t>Проводимость линейного дренажного sink: Q=C*max(H-Hdrain,0).</t>
        </is>
      </c>
      <c r="F11" s="44" t="inlineStr">
        <is>
          <t>source term</t>
        </is>
      </c>
      <c r="G11" s="46" t="inlineStr">
        <is>
          <t>Подлежит калибровке.</t>
        </is>
      </c>
    </row>
    <row r="12">
      <c r="A12" s="47" t="inlineStr">
        <is>
          <t>Дренаж</t>
        </is>
      </c>
      <c r="B12" s="48" t="inlineStr">
        <is>
          <t>controlled_drain_level_m</t>
        </is>
      </c>
      <c r="C12" s="70" t="n">
        <v>0.9</v>
      </c>
      <c r="D12" s="48" t="inlineStr">
        <is>
          <t>m</t>
        </is>
      </c>
      <c r="E12" s="48" t="inlineStr">
        <is>
          <t>Уровень управления в коллекторе для регулируемого дренажа.</t>
        </is>
      </c>
      <c r="F12" s="48" t="inlineStr">
        <is>
          <t>controlled drainage future</t>
        </is>
      </c>
      <c r="G12" s="50" t="str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style="95" min="1" max="1"/>
    <col width="28" customWidth="1" style="95" min="2" max="2"/>
    <col width="20" customWidth="1" style="95" min="3" max="3"/>
    <col width="16" customWidth="1" style="95" min="4" max="4"/>
    <col width="58" customWidth="1" style="95" min="5" max="5"/>
    <col width="34" customWidth="1" style="95" min="6" max="6"/>
    <col width="48" customWidth="1" style="95" min="7" max="7"/>
  </cols>
  <sheetData>
    <row r="1" ht="24" customHeight="1" s="95">
      <c r="A1" s="9" t="inlineStr">
        <is>
          <t>08_Groundwater — динамические грунтовые воды</t>
        </is>
      </c>
      <c r="B1" s="63" t="n"/>
      <c r="C1" s="63" t="n"/>
      <c r="D1" s="63" t="n"/>
      <c r="E1" s="63" t="n"/>
      <c r="F1" s="63" t="n"/>
      <c r="G1" s="63" t="n"/>
    </row>
    <row r="2" ht="48" customHeight="1" s="95">
      <c r="A2" s="27" t="inlineStr">
        <is>
          <t>Параметры будущей связи профиля с динамическим уровнем грунтовых вод.</t>
        </is>
      </c>
      <c r="B2" s="63" t="n"/>
      <c r="C2" s="63" t="n"/>
      <c r="D2" s="63" t="n"/>
      <c r="E2" s="63" t="n"/>
      <c r="F2" s="63" t="n"/>
      <c r="G2" s="63" t="n"/>
    </row>
    <row r="4" ht="28" customHeight="1" s="95">
      <c r="A4" s="40" t="inlineStr">
        <is>
          <t>Блок</t>
        </is>
      </c>
      <c r="B4" s="41" t="inlineStr">
        <is>
          <t>Parameter</t>
        </is>
      </c>
      <c r="C4" s="41" t="inlineStr">
        <is>
          <t>Value</t>
        </is>
      </c>
      <c r="D4" s="41" t="inlineStr">
        <is>
          <t>Units</t>
        </is>
      </c>
      <c r="E4" s="41" t="inlineStr">
        <is>
          <t>Физический смысл / пояснение</t>
        </is>
      </c>
      <c r="F4" s="41" t="inlineStr">
        <is>
          <t>PFLOTRAN / переменная</t>
        </is>
      </c>
      <c r="G4" s="42" t="inlineStr">
        <is>
          <t>Примечание</t>
        </is>
      </c>
    </row>
    <row r="5">
      <c r="A5" s="43" t="inlineStr">
        <is>
          <t>Грунтовые воды</t>
        </is>
      </c>
      <c r="B5" s="44" t="inlineStr">
        <is>
          <t>dynamic_groundwater_enabled</t>
        </is>
      </c>
      <c r="C5" s="68" t="b">
        <v>0</v>
      </c>
      <c r="D5" s="44" t="inlineStr">
        <is>
          <t>-</t>
        </is>
      </c>
      <c r="E5" s="44" t="inlineStr">
        <is>
          <t>Включить динамический модуль грунтовых вод.</t>
        </is>
      </c>
      <c r="F5" s="44" t="inlineStr">
        <is>
          <t>GW model future</t>
        </is>
      </c>
      <c r="G5" s="46" t="inlineStr">
        <is>
          <t>В demo не активен.</t>
        </is>
      </c>
    </row>
    <row r="6">
      <c r="A6" s="43" t="inlineStr">
        <is>
          <t>Грунтовые воды</t>
        </is>
      </c>
      <c r="B6" s="44" t="inlineStr">
        <is>
          <t>groundwater_mode</t>
        </is>
      </c>
      <c r="C6" s="68" t="inlineStr">
        <is>
          <t>TABLE_OR_CONSTANT_HEAD</t>
        </is>
      </c>
      <c r="D6" s="44" t="inlineStr">
        <is>
          <t>-</t>
        </is>
      </c>
      <c r="E6" s="44" t="inlineStr">
        <is>
          <t>Способ задания ГВ: таблица, постоянный напор, резервуар.</t>
        </is>
      </c>
      <c r="F6" s="44" t="inlineStr">
        <is>
          <t>bottom BC</t>
        </is>
      </c>
      <c r="G6" s="46" t="str"/>
    </row>
    <row r="7">
      <c r="A7" s="43" t="inlineStr">
        <is>
          <t>Грунтовые воды</t>
        </is>
      </c>
      <c r="B7" s="44" t="inlineStr">
        <is>
          <t>initial_groundwater_depth_m</t>
        </is>
      </c>
      <c r="C7" s="68" t="n">
        <v>1.6</v>
      </c>
      <c r="D7" s="44" t="inlineStr">
        <is>
          <t>m</t>
        </is>
      </c>
      <c r="E7" s="44" t="inlineStr">
        <is>
          <t>Начальная глубина уровня ГВ от поверхности.</t>
        </is>
      </c>
      <c r="F7" s="44" t="inlineStr">
        <is>
          <t>hydrostatic IC future</t>
        </is>
      </c>
      <c r="G7" s="46" t="inlineStr">
        <is>
          <t>Для профиля 2 м это z=0.4 м.</t>
        </is>
      </c>
    </row>
    <row r="8">
      <c r="A8" s="43" t="inlineStr">
        <is>
          <t>Грунтовые воды</t>
        </is>
      </c>
      <c r="B8" s="44" t="inlineStr">
        <is>
          <t>groundwater_storage_coefficient</t>
        </is>
      </c>
      <c r="C8" s="68" t="n">
        <v>0.08</v>
      </c>
      <c r="D8" s="44" t="inlineStr">
        <is>
          <t>-</t>
        </is>
      </c>
      <c r="E8" s="44" t="inlineStr">
        <is>
          <t>Коэффициент водоотдачи/ёмкости lumped-резервуара ГВ.</t>
        </is>
      </c>
      <c r="F8" s="44" t="inlineStr">
        <is>
          <t>GW reservoir</t>
        </is>
      </c>
      <c r="G8" s="46" t="str"/>
    </row>
    <row r="9">
      <c r="A9" s="43" t="inlineStr">
        <is>
          <t>Грунтовые воды</t>
        </is>
      </c>
      <c r="B9" s="44" t="inlineStr">
        <is>
          <t>lateral_outflow_coeff_1_s</t>
        </is>
      </c>
      <c r="C9" s="68" t="n">
        <v>1e-07</v>
      </c>
      <c r="D9" s="44" t="inlineStr">
        <is>
          <t>1/s</t>
        </is>
      </c>
      <c r="E9" s="44" t="inlineStr">
        <is>
          <t>Коэффициент бокового оттока из резервуара ГВ.</t>
        </is>
      </c>
      <c r="F9" s="44" t="inlineStr">
        <is>
          <t>GW reservoir</t>
        </is>
      </c>
      <c r="G9" s="46" t="inlineStr">
        <is>
          <t>Подлежит калибровке.</t>
        </is>
      </c>
    </row>
    <row r="10">
      <c r="A10" s="47" t="inlineStr">
        <is>
          <t>Грунтовые воды</t>
        </is>
      </c>
      <c r="B10" s="48" t="inlineStr">
        <is>
          <t>capillary_rise_enabled</t>
        </is>
      </c>
      <c r="C10" s="70" t="b">
        <v>1</v>
      </c>
      <c r="D10" s="48" t="inlineStr">
        <is>
          <t>-</t>
        </is>
      </c>
      <c r="E10" s="48" t="inlineStr">
        <is>
          <t>Разрешить капиллярную связь с ГВ через нижнее условие/резервуар.</t>
        </is>
      </c>
      <c r="F10" s="48" t="inlineStr">
        <is>
          <t>bottom BC future</t>
        </is>
      </c>
      <c r="G10" s="50" t="str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style="95" min="1" max="1"/>
    <col width="28" customWidth="1" style="95" min="2" max="2"/>
    <col width="20" customWidth="1" style="95" min="3" max="3"/>
    <col width="16" customWidth="1" style="95" min="4" max="4"/>
    <col width="58" customWidth="1" style="95" min="5" max="5"/>
    <col width="34" customWidth="1" style="95" min="6" max="6"/>
    <col width="48" customWidth="1" style="95" min="7" max="7"/>
  </cols>
  <sheetData>
    <row r="1" ht="24" customHeight="1" s="95">
      <c r="A1" s="9" t="inlineStr">
        <is>
          <t>09_Solver — настройки запуска solver-а</t>
        </is>
      </c>
      <c r="B1" s="63" t="n"/>
      <c r="C1" s="63" t="n"/>
      <c r="D1" s="63" t="n"/>
      <c r="E1" s="63" t="n"/>
      <c r="F1" s="63" t="n"/>
      <c r="G1" s="63" t="n"/>
    </row>
    <row r="2" ht="48" customHeight="1" s="95">
      <c r="A2" s="27" t="inlineStr">
        <is>
          <t>Параметры поиска/запуска PFLOTRAN и Python-зависимостей.</t>
        </is>
      </c>
      <c r="B2" s="63" t="n"/>
      <c r="C2" s="63" t="n"/>
      <c r="D2" s="63" t="n"/>
      <c r="E2" s="63" t="n"/>
      <c r="F2" s="63" t="n"/>
      <c r="G2" s="63" t="n"/>
    </row>
    <row r="4" ht="28" customHeight="1" s="95">
      <c r="A4" s="40" t="inlineStr">
        <is>
          <t>Блок</t>
        </is>
      </c>
      <c r="B4" s="41" t="inlineStr">
        <is>
          <t>Parameter</t>
        </is>
      </c>
      <c r="C4" s="41" t="inlineStr">
        <is>
          <t>Value</t>
        </is>
      </c>
      <c r="D4" s="41" t="inlineStr">
        <is>
          <t>Units</t>
        </is>
      </c>
      <c r="E4" s="41" t="inlineStr">
        <is>
          <t>Физический смысл / пояснение</t>
        </is>
      </c>
      <c r="F4" s="41" t="inlineStr">
        <is>
          <t>PFLOTRAN / переменная</t>
        </is>
      </c>
      <c r="G4" s="42" t="inlineStr">
        <is>
          <t>Примечание</t>
        </is>
      </c>
    </row>
    <row r="5">
      <c r="A5" s="43" t="inlineStr">
        <is>
          <t>PFLOTRAN</t>
        </is>
      </c>
      <c r="B5" s="44" t="inlineStr">
        <is>
          <t>pflotran_exe</t>
        </is>
      </c>
      <c r="C5" s="68" t="str"/>
      <c r="D5" s="44" t="inlineStr">
        <is>
          <t>path</t>
        </is>
      </c>
      <c r="E5" s="44" t="inlineStr">
        <is>
          <t>Путь к исполняемому файлу PFLOTRAN. Можно оставить пустым, если он в PATH или задан PFLOTRAN_EXE.</t>
        </is>
      </c>
      <c r="F5" s="44" t="inlineStr">
        <is>
          <t>runner</t>
        </is>
      </c>
      <c r="G5" s="46" t="inlineStr">
        <is>
          <t>В WSL будет искаться pflotran или ~/pflotran/src/pflotran/pflotran.</t>
        </is>
      </c>
    </row>
    <row r="6">
      <c r="A6" s="43" t="inlineStr">
        <is>
          <t>PFLOTRAN</t>
        </is>
      </c>
      <c r="B6" s="44" t="inlineStr">
        <is>
          <t>mpi_processes</t>
        </is>
      </c>
      <c r="C6" s="68" t="n">
        <v>1</v>
      </c>
      <c r="D6" s="44" t="inlineStr">
        <is>
          <t>-</t>
        </is>
      </c>
      <c r="E6" s="44" t="inlineStr">
        <is>
          <t>Число MPI-процессов.</t>
        </is>
      </c>
      <c r="F6" s="44" t="inlineStr">
        <is>
          <t>mpirun -n</t>
        </is>
      </c>
      <c r="G6" s="46" t="inlineStr">
        <is>
          <t>Для demo достаточно 1.</t>
        </is>
      </c>
    </row>
    <row r="7">
      <c r="A7" s="43" t="inlineStr">
        <is>
          <t>PFLOTRAN</t>
        </is>
      </c>
      <c r="B7" s="44" t="inlineStr">
        <is>
          <t>prefer_wsl</t>
        </is>
      </c>
      <c r="C7" s="68" t="b">
        <v>1</v>
      </c>
      <c r="D7" s="44" t="inlineStr">
        <is>
          <t>-</t>
        </is>
      </c>
      <c r="E7" s="44" t="inlineStr">
        <is>
          <t>Если Windows-native PFLOTRAN не найден, пробовать WSL.</t>
        </is>
      </c>
      <c r="F7" s="44" t="inlineStr">
        <is>
          <t>runner</t>
        </is>
      </c>
      <c r="G7" s="46" t="str"/>
    </row>
    <row r="8">
      <c r="A8" s="43" t="inlineStr">
        <is>
          <t>PFLOTRAN</t>
        </is>
      </c>
      <c r="B8" s="44" t="inlineStr">
        <is>
          <t>auto_install_pflotran_wsl</t>
        </is>
      </c>
      <c r="C8" s="68" t="b">
        <v>0</v>
      </c>
      <c r="D8" s="44" t="inlineStr">
        <is>
          <t>-</t>
        </is>
      </c>
      <c r="E8" s="44" t="inlineStr">
        <is>
          <t>Автоматически пытаться собрать PFLOTRAN в WSL.</t>
        </is>
      </c>
      <c r="F8" s="44" t="inlineStr">
        <is>
          <t>installer</t>
        </is>
      </c>
      <c r="G8" s="46" t="inlineStr">
        <is>
          <t>По умолчанию false; используйте BAT с --install-pflotran-wsl.</t>
        </is>
      </c>
    </row>
    <row r="9">
      <c r="A9" s="43" t="inlineStr">
        <is>
          <t>Python</t>
        </is>
      </c>
      <c r="B9" s="44" t="inlineStr">
        <is>
          <t>python_package_openpyxl</t>
        </is>
      </c>
      <c r="C9" s="68" t="inlineStr">
        <is>
          <t>&gt;=3.1</t>
        </is>
      </c>
      <c r="D9" s="44" t="inlineStr">
        <is>
          <t>-</t>
        </is>
      </c>
      <c r="E9" s="44" t="inlineStr">
        <is>
          <t>Пакет для чтения XLSX.</t>
        </is>
      </c>
      <c r="F9" s="44" t="inlineStr">
        <is>
          <t>pip</t>
        </is>
      </c>
      <c r="G9" s="46" t="inlineStr">
        <is>
          <t>Устанавливается BAT-скриптом.</t>
        </is>
      </c>
    </row>
    <row r="10">
      <c r="A10" s="47" t="inlineStr">
        <is>
          <t>Диагностика</t>
        </is>
      </c>
      <c r="B10" s="48" t="inlineStr">
        <is>
          <t>dry_run_if_no_pflotran</t>
        </is>
      </c>
      <c r="C10" s="70" t="b">
        <v>1</v>
      </c>
      <c r="D10" s="48" t="inlineStr">
        <is>
          <t>-</t>
        </is>
      </c>
      <c r="E10" s="48" t="inlineStr">
        <is>
          <t>Если PFLOTRAN не найден, только создать pflotran.in и CSV.</t>
        </is>
      </c>
      <c r="F10" s="48" t="inlineStr">
        <is>
          <t>runner</t>
        </is>
      </c>
      <c r="G10" s="50" t="inlineStr">
        <is>
          <t>Позволяет проверить генерацию input без solver-а.</t>
        </is>
      </c>
    </row>
  </sheetData>
  <mergeCells count="2">
    <mergeCell ref="A2:G2"/>
    <mergeCell ref="A1:G1"/>
  </mergeCells>
  <dataValidations count="1">
    <dataValidation sqref="C7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style="95" min="1" max="1"/>
    <col width="22" customWidth="1" style="95" min="2" max="2"/>
    <col width="22" customWidth="1" style="95" min="3" max="3"/>
    <col width="16" customWidth="1" style="95" min="4" max="4"/>
    <col width="16" customWidth="1" style="95" min="5" max="5"/>
    <col width="24" customWidth="1" style="95" min="6" max="6"/>
    <col width="26" customWidth="1" style="95" min="7" max="7"/>
    <col width="44" customWidth="1" style="95" min="8" max="8"/>
  </cols>
  <sheetData>
    <row r="1" ht="24" customHeight="1" s="95">
      <c r="A1" s="9" t="inlineStr">
        <is>
          <t>10_Weather_Daily — демонстрационный суточный форсинг</t>
        </is>
      </c>
      <c r="B1" s="63" t="n"/>
      <c r="C1" s="63" t="n"/>
      <c r="D1" s="63" t="n"/>
      <c r="E1" s="63" t="n"/>
      <c r="F1" s="63" t="n"/>
      <c r="G1" s="63" t="n"/>
      <c r="H1" s="63" t="n"/>
    </row>
    <row r="2" ht="48" customHeight="1" s="95">
      <c r="A2" s="27" t="inlineStr">
        <is>
          <t>Суточные осадки, полив, потенциальное испарение и транспирация. Для demo Python считает средний верхний поток: (P + irrigation - Epot) / 86400. Tpot сохраняется для будущего root uptake/crop coupling.</t>
        </is>
      </c>
      <c r="B2" s="63" t="n"/>
      <c r="C2" s="63" t="n"/>
      <c r="D2" s="63" t="n"/>
      <c r="E2" s="63" t="n"/>
      <c r="F2" s="63" t="n"/>
      <c r="G2" s="63" t="n"/>
      <c r="H2" s="63" t="n"/>
    </row>
    <row r="4" ht="28" customHeight="1" s="95">
      <c r="A4" s="40" t="inlineStr">
        <is>
          <t>date</t>
        </is>
      </c>
      <c r="B4" s="41" t="inlineStr">
        <is>
          <t>precipitation_mm_day</t>
        </is>
      </c>
      <c r="C4" s="41" t="inlineStr">
        <is>
          <t>irrigation_mm_day</t>
        </is>
      </c>
      <c r="D4" s="41" t="inlineStr">
        <is>
          <t>epot_mm_day</t>
        </is>
      </c>
      <c r="E4" s="41" t="inlineStr">
        <is>
          <t>tpot_mm_day</t>
        </is>
      </c>
      <c r="F4" s="41" t="inlineStr">
        <is>
          <t>groundwater_depth_m</t>
        </is>
      </c>
      <c r="G4" s="41" t="inlineStr">
        <is>
          <t>net_surface_input_mm_day</t>
        </is>
      </c>
      <c r="H4" s="42" t="inlineStr">
        <is>
          <t>Комментарий</t>
        </is>
      </c>
    </row>
    <row r="5">
      <c r="A5" s="176" t="n">
        <v>46143</v>
      </c>
      <c r="B5" s="177" t="n">
        <v>3</v>
      </c>
      <c r="C5" s="177" t="n">
        <v>0</v>
      </c>
      <c r="D5" s="177" t="n">
        <v>3</v>
      </c>
      <c r="E5" s="177" t="n">
        <v>4</v>
      </c>
      <c r="F5" s="177" t="n">
        <v>1.6</v>
      </c>
      <c r="G5" s="177" t="n">
        <v>0</v>
      </c>
      <c r="H5" s="46" t="inlineStr">
        <is>
          <t>Синтетические демонстрационные данные</t>
        </is>
      </c>
    </row>
    <row r="6">
      <c r="A6" s="176" t="n">
        <v>46144</v>
      </c>
      <c r="B6" s="177" t="n">
        <v>0</v>
      </c>
      <c r="C6" s="177" t="n">
        <v>0</v>
      </c>
      <c r="D6" s="177" t="n">
        <v>3.5</v>
      </c>
      <c r="E6" s="177" t="n">
        <v>4.4</v>
      </c>
      <c r="F6" s="177" t="n">
        <v>1.6</v>
      </c>
      <c r="G6" s="177" t="n">
        <v>-3.5</v>
      </c>
      <c r="H6" s="46" t="inlineStr">
        <is>
          <t>Синтетические демонстрационные данные</t>
        </is>
      </c>
    </row>
    <row r="7">
      <c r="A7" s="176" t="n">
        <v>46145</v>
      </c>
      <c r="B7" s="177" t="n">
        <v>12</v>
      </c>
      <c r="C7" s="177" t="n">
        <v>0</v>
      </c>
      <c r="D7" s="177" t="n">
        <v>2.8</v>
      </c>
      <c r="E7" s="177" t="n">
        <v>3.5</v>
      </c>
      <c r="F7" s="177" t="n">
        <v>1.55</v>
      </c>
      <c r="G7" s="177" t="n">
        <v>9.199999999999999</v>
      </c>
      <c r="H7" s="46" t="inlineStr">
        <is>
          <t>Синтетические демонстрационные данные</t>
        </is>
      </c>
    </row>
    <row r="8">
      <c r="A8" s="176" t="n">
        <v>46146</v>
      </c>
      <c r="B8" s="177" t="n">
        <v>0</v>
      </c>
      <c r="C8" s="177" t="n">
        <v>20</v>
      </c>
      <c r="D8" s="177" t="n">
        <v>3.2</v>
      </c>
      <c r="E8" s="177" t="n">
        <v>4.2</v>
      </c>
      <c r="F8" s="177" t="n">
        <v>1.5</v>
      </c>
      <c r="G8" s="177" t="n">
        <v>16.8</v>
      </c>
      <c r="H8" s="46" t="inlineStr">
        <is>
          <t>Синтетические демонстрационные данные</t>
        </is>
      </c>
    </row>
    <row r="9">
      <c r="A9" s="176" t="n">
        <v>46147</v>
      </c>
      <c r="B9" s="177" t="n">
        <v>0</v>
      </c>
      <c r="C9" s="177" t="n">
        <v>0</v>
      </c>
      <c r="D9" s="177" t="n">
        <v>4</v>
      </c>
      <c r="E9" s="177" t="n">
        <v>4.7</v>
      </c>
      <c r="F9" s="177" t="n">
        <v>1.48</v>
      </c>
      <c r="G9" s="177" t="n">
        <v>-4</v>
      </c>
      <c r="H9" s="46" t="inlineStr">
        <is>
          <t>Синтетические демонстрационные данные</t>
        </is>
      </c>
    </row>
    <row r="10">
      <c r="A10" s="176" t="n">
        <v>46148</v>
      </c>
      <c r="B10" s="177" t="n">
        <v>5</v>
      </c>
      <c r="C10" s="177" t="n">
        <v>0</v>
      </c>
      <c r="D10" s="177" t="n">
        <v>3.1</v>
      </c>
      <c r="E10" s="177" t="n">
        <v>3.9</v>
      </c>
      <c r="F10" s="177" t="n">
        <v>1.46</v>
      </c>
      <c r="G10" s="177" t="n">
        <v>1.9</v>
      </c>
      <c r="H10" s="46" t="inlineStr">
        <is>
          <t>Синтетические демонстрационные данные</t>
        </is>
      </c>
    </row>
    <row r="11">
      <c r="A11" s="178" t="n">
        <v>46149</v>
      </c>
      <c r="B11" s="179" t="n">
        <v>0</v>
      </c>
      <c r="C11" s="179" t="n">
        <v>0</v>
      </c>
      <c r="D11" s="179" t="n">
        <v>3.8</v>
      </c>
      <c r="E11" s="179" t="n">
        <v>4.5</v>
      </c>
      <c r="F11" s="179" t="n">
        <v>1.48</v>
      </c>
      <c r="G11" s="179" t="n">
        <v>-3.8</v>
      </c>
      <c r="H11" s="50" t="inlineStr">
        <is>
          <t>Синтетические демонстрационные данные</t>
        </is>
      </c>
    </row>
  </sheetData>
  <mergeCells count="2">
    <mergeCell ref="A2:H2"/>
    <mergeCell ref="A1:H1"/>
  </mergeCells>
  <conditionalFormatting sqref="B5:G11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style="95" min="1" max="1"/>
    <col width="22" customWidth="1" style="95" min="2" max="2"/>
    <col width="14" customWidth="1" style="95" min="3" max="3"/>
    <col width="56" customWidth="1" style="95" min="4" max="4"/>
    <col width="20" customWidth="1" style="95" min="5" max="5"/>
    <col width="36" customWidth="1" style="95" min="6" max="6"/>
  </cols>
  <sheetData>
    <row r="1" ht="24" customHeight="1" s="95">
      <c r="A1" s="9" t="inlineStr">
        <is>
          <t>11_Derived_Checks — производные параметры и контроль единиц</t>
        </is>
      </c>
      <c r="B1" s="63" t="n"/>
      <c r="C1" s="63" t="n"/>
      <c r="D1" s="63" t="n"/>
      <c r="E1" s="63" t="n"/>
      <c r="F1" s="63" t="n"/>
    </row>
    <row r="2" ht="48" customHeight="1" s="95">
      <c r="A2" s="27" t="inlineStr">
        <is>
          <t>Эта вкладка показывает физические преобразования, которые Python-скрипт выполняет при генерации PFLOTRAN input. Формулы предназначены для проверки человеком; скрипт не зависит от кэшированных значений Excel.</t>
        </is>
      </c>
      <c r="B2" s="63" t="n"/>
      <c r="C2" s="63" t="n"/>
      <c r="D2" s="63" t="n"/>
      <c r="E2" s="63" t="n"/>
      <c r="F2" s="63" t="n"/>
    </row>
    <row r="4" ht="28" customHeight="1" s="95">
      <c r="A4" s="40" t="inlineStr">
        <is>
          <t>Параметр</t>
        </is>
      </c>
      <c r="B4" s="41" t="inlineStr">
        <is>
          <t>Формула/значение</t>
        </is>
      </c>
      <c r="C4" s="41" t="inlineStr">
        <is>
          <t>Units</t>
        </is>
      </c>
      <c r="D4" s="41" t="inlineStr">
        <is>
          <t>Описание</t>
        </is>
      </c>
      <c r="E4" s="41" t="inlineStr">
        <is>
          <t>Ожидаемое значение</t>
        </is>
      </c>
      <c r="F4" s="42" t="inlineStr">
        <is>
          <t>Комментарий</t>
        </is>
      </c>
    </row>
    <row r="5">
      <c r="A5" s="43" t="inlineStr">
        <is>
          <t>residual_saturation</t>
        </is>
      </c>
      <c r="B5" s="180">
        <f>'03_Soil'!C6/'03_Soil'!C5</f>
        <v/>
      </c>
      <c r="C5" s="44" t="inlineStr">
        <is>
          <t>-</t>
        </is>
      </c>
      <c r="D5" s="44" t="inlineStr">
        <is>
          <t>Остаточная насыщенность Sr = theta_r/theta_s.</t>
        </is>
      </c>
      <c r="E5" s="44" t="str"/>
      <c r="F5" s="46" t="inlineStr">
        <is>
          <t>PFLOTRAN LIQUID_RESIDUAL_SATURATION</t>
        </is>
      </c>
    </row>
    <row r="6">
      <c r="A6" s="43" t="inlineStr">
        <is>
          <t>vg_m</t>
        </is>
      </c>
      <c r="B6" s="180">
        <f>1-1/'03_Soil'!C8</f>
        <v/>
      </c>
      <c r="C6" s="44" t="inlineStr">
        <is>
          <t>-</t>
        </is>
      </c>
      <c r="D6" s="44" t="inlineStr">
        <is>
          <t>Параметр m = 1 - 1/n.</t>
        </is>
      </c>
      <c r="E6" s="44" t="str"/>
      <c r="F6" s="46" t="inlineStr">
        <is>
          <t>PFLOTRAN M</t>
        </is>
      </c>
    </row>
    <row r="7">
      <c r="A7" s="43" t="inlineStr">
        <is>
          <t>alpha_pa_inv</t>
        </is>
      </c>
      <c r="B7" s="180">
        <f>'03_Soil'!C7/('03_Soil'!C14*'03_Soil'!C16)</f>
        <v/>
      </c>
      <c r="C7" s="44" t="inlineStr">
        <is>
          <t>1/Pa</t>
        </is>
      </c>
      <c r="D7" s="44" t="inlineStr">
        <is>
          <t>Перевод α из 1/m в 1/Pa.</t>
        </is>
      </c>
      <c r="E7" s="44" t="str"/>
      <c r="F7" s="46" t="inlineStr">
        <is>
          <t>PFLOTRAN ALPHA</t>
        </is>
      </c>
    </row>
    <row r="8">
      <c r="A8" s="43" t="inlineStr">
        <is>
          <t>intrinsic_perm_z</t>
        </is>
      </c>
      <c r="B8" s="180">
        <f>'03_Soil'!C9*'03_Soil'!C15/('03_Soil'!C14*'03_Soil'!C16)</f>
        <v/>
      </c>
      <c r="C8" s="44" t="inlineStr">
        <is>
          <t>m2</t>
        </is>
      </c>
      <c r="D8" s="44" t="inlineStr">
        <is>
          <t>k = Ks*mu/(rho*g).</t>
        </is>
      </c>
      <c r="E8" s="44" t="str"/>
      <c r="F8" s="46" t="inlineStr">
        <is>
          <t>PFLOTRAN PERM_Z</t>
        </is>
      </c>
    </row>
    <row r="9">
      <c r="A9" s="47" t="inlineStr">
        <is>
          <t>mean_net_flux</t>
        </is>
      </c>
      <c r="B9" s="181">
        <f>AVERAGE('10_Weather_Daily'!G5:G11)/1000/86400</f>
        <v/>
      </c>
      <c r="C9" s="48" t="inlineStr">
        <is>
          <t>m/s</t>
        </is>
      </c>
      <c r="D9" s="48" t="inlineStr">
        <is>
          <t>Средний верхний поток из Weather.</t>
        </is>
      </c>
      <c r="E9" s="48" t="str"/>
      <c r="F9" s="50" t="inlineStr">
        <is>
          <t>PFLOTRAN LIQUID_FLUX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" customWidth="1" style="95" min="1" max="1"/>
    <col width="34" customWidth="1" style="95" min="2" max="2"/>
    <col width="18" customWidth="1" style="95" min="3" max="3"/>
    <col width="12" customWidth="1" style="95" min="4" max="4"/>
    <col width="12" customWidth="1" style="95" min="5" max="5"/>
    <col width="52" customWidth="1" style="95" min="6" max="6"/>
    <col width="46" customWidth="1" style="95" min="7" max="7"/>
  </cols>
  <sheetData>
    <row r="1" ht="32" customHeight="1" s="95">
      <c r="A1" s="182" t="inlineStr">
        <is>
          <t>Верификационный _test: стационарная линеаризованная колонка Ричардса/Дарси</t>
        </is>
      </c>
      <c r="B1" s="63" t="n"/>
      <c r="C1" s="63" t="n"/>
      <c r="D1" s="63" t="n"/>
      <c r="E1" s="63" t="n"/>
      <c r="F1" s="63" t="n"/>
      <c r="G1" s="63" t="n"/>
    </row>
    <row r="2" ht="44" customHeight="1" s="95">
      <c r="A2" s="183" t="inlineStr">
        <is>
          <t>Задача: однородная изотропная колонка 2 м, постоянный нисходящий поток сверху, повышенное опорное давление снизу, отсутствие испарения/транспирации/источников; проверка PFLOTRAN FVM по аналитическому линейному решению в насыщенном режиме.</t>
        </is>
      </c>
      <c r="B2" s="63" t="n"/>
      <c r="C2" s="63" t="n"/>
      <c r="D2" s="63" t="n"/>
      <c r="E2" s="63" t="n"/>
      <c r="F2" s="63" t="n"/>
      <c r="G2" s="63" t="n"/>
    </row>
    <row r="4">
      <c r="A4" s="165" t="inlineStr">
        <is>
          <t>Раздел</t>
        </is>
      </c>
      <c r="B4" s="165" t="inlineStr">
        <is>
          <t>parameter</t>
        </is>
      </c>
      <c r="C4" s="165" t="inlineStr">
        <is>
          <t>value</t>
        </is>
      </c>
      <c r="D4" s="165" t="inlineStr">
        <is>
          <t>units</t>
        </is>
      </c>
      <c r="E4" s="165" t="inlineStr">
        <is>
          <t>type</t>
        </is>
      </c>
      <c r="F4" s="165" t="inlineStr">
        <is>
          <t>Пояснение физического смысла</t>
        </is>
      </c>
      <c r="G4" s="165" t="inlineStr">
        <is>
          <t>Примечание/контроль</t>
        </is>
      </c>
    </row>
    <row r="5">
      <c r="A5" s="166" t="inlineStr">
        <is>
          <t>Управление</t>
        </is>
      </c>
      <c r="B5" s="133" t="inlineStr">
        <is>
          <t>test_enabled</t>
        </is>
      </c>
      <c r="C5" s="184" t="b">
        <v>1</v>
      </c>
      <c r="D5" s="135" t="inlineStr">
        <is>
          <t>-</t>
        </is>
      </c>
      <c r="E5" s="135" t="inlineStr">
        <is>
          <t>bool</t>
        </is>
      </c>
      <c r="F5" s="135" t="inlineStr">
        <is>
          <t>Включает выполнение специального режима _test.</t>
        </is>
      </c>
      <c r="G5" s="135" t="inlineStr">
        <is>
          <t>Должно быть TRUE.</t>
        </is>
      </c>
    </row>
    <row r="6">
      <c r="A6" s="166" t="inlineStr">
        <is>
          <t>Управление</t>
        </is>
      </c>
      <c r="B6" s="133" t="inlineStr">
        <is>
          <t>test_case_id</t>
        </is>
      </c>
      <c r="C6" s="185" t="inlineStr">
        <is>
          <t>linear_darcy_saturated_column</t>
        </is>
      </c>
      <c r="D6" s="135" t="inlineStr">
        <is>
          <t>-</t>
        </is>
      </c>
      <c r="E6" s="135" t="inlineStr">
        <is>
          <t>text</t>
        </is>
      </c>
      <c r="F6" s="135" t="inlineStr">
        <is>
          <t>Идентификатор аналитического теста в коде.</t>
        </is>
      </c>
      <c r="G6" s="135" t="inlineStr">
        <is>
          <t>Режим saturated/linearized Richards.</t>
        </is>
      </c>
    </row>
    <row r="7">
      <c r="A7" s="166" t="inlineStr">
        <is>
          <t>Геометрия</t>
        </is>
      </c>
      <c r="B7" s="133" t="inlineStr">
        <is>
          <t>column_height_m</t>
        </is>
      </c>
      <c r="C7" s="185" t="n">
        <v>2</v>
      </c>
      <c r="D7" s="135" t="inlineStr">
        <is>
          <t>m</t>
        </is>
      </c>
      <c r="E7" s="135" t="inlineStr">
        <is>
          <t>float</t>
        </is>
      </c>
      <c r="F7" s="135" t="inlineStr">
        <is>
          <t>Высота лабораторной колонки L.</t>
        </is>
      </c>
      <c r="G7" s="135" t="inlineStr">
        <is>
          <t>Демонстрационный тест: L = 2 м.</t>
        </is>
      </c>
    </row>
    <row r="8">
      <c r="A8" s="166" t="inlineStr">
        <is>
          <t>Геометрия</t>
        </is>
      </c>
      <c r="B8" s="133" t="inlineStr">
        <is>
          <t>length_x_m</t>
        </is>
      </c>
      <c r="C8" s="185" t="n">
        <v>1</v>
      </c>
      <c r="D8" s="135" t="inlineStr">
        <is>
          <t>m</t>
        </is>
      </c>
      <c r="E8" s="135" t="inlineStr">
        <is>
          <t>float</t>
        </is>
      </c>
      <c r="F8" s="135" t="inlineStr">
        <is>
          <t>Размер по X; для 1D-теста задаёт площадь сечения 1 м².</t>
        </is>
      </c>
      <c r="G8" s="135" t="str"/>
    </row>
    <row r="9">
      <c r="A9" s="166" t="inlineStr">
        <is>
          <t>Геометрия</t>
        </is>
      </c>
      <c r="B9" s="133" t="inlineStr">
        <is>
          <t>length_y_m</t>
        </is>
      </c>
      <c r="C9" s="185" t="n">
        <v>1</v>
      </c>
      <c r="D9" s="135" t="inlineStr">
        <is>
          <t>m</t>
        </is>
      </c>
      <c r="E9" s="135" t="inlineStr">
        <is>
          <t>float</t>
        </is>
      </c>
      <c r="F9" s="135" t="inlineStr">
        <is>
          <t>Размер по Y; для 1D-теста задаёт площадь сечения 1 м².</t>
        </is>
      </c>
      <c r="G9" s="135" t="str"/>
    </row>
    <row r="10">
      <c r="A10" s="166" t="inlineStr">
        <is>
          <t>Геометрия</t>
        </is>
      </c>
      <c r="B10" s="133" t="inlineStr">
        <is>
          <t>nx</t>
        </is>
      </c>
      <c r="C10" s="185" t="n">
        <v>1</v>
      </c>
      <c r="D10" s="135" t="inlineStr">
        <is>
          <t>-</t>
        </is>
      </c>
      <c r="E10" s="135" t="inlineStr">
        <is>
          <t>int</t>
        </is>
      </c>
      <c r="F10" s="135" t="inlineStr">
        <is>
          <t>Число ячеек по X.</t>
        </is>
      </c>
      <c r="G10" s="135" t="inlineStr">
        <is>
          <t>Для 1D-теста nx = 1.</t>
        </is>
      </c>
    </row>
    <row r="11">
      <c r="A11" s="166" t="inlineStr">
        <is>
          <t>Геометрия</t>
        </is>
      </c>
      <c r="B11" s="133" t="inlineStr">
        <is>
          <t>ny</t>
        </is>
      </c>
      <c r="C11" s="185" t="n">
        <v>1</v>
      </c>
      <c r="D11" s="135" t="inlineStr">
        <is>
          <t>-</t>
        </is>
      </c>
      <c r="E11" s="135" t="inlineStr">
        <is>
          <t>int</t>
        </is>
      </c>
      <c r="F11" s="135" t="inlineStr">
        <is>
          <t>Число ячеек по Y.</t>
        </is>
      </c>
      <c r="G11" s="135" t="inlineStr">
        <is>
          <t>Для 1D-теста ny = 1.</t>
        </is>
      </c>
    </row>
    <row r="12">
      <c r="A12" s="166" t="inlineStr">
        <is>
          <t>Геометрия</t>
        </is>
      </c>
      <c r="B12" s="133" t="inlineStr">
        <is>
          <t>nz</t>
        </is>
      </c>
      <c r="C12" s="185" t="n">
        <v>80</v>
      </c>
      <c r="D12" s="135" t="inlineStr">
        <is>
          <t>-</t>
        </is>
      </c>
      <c r="E12" s="135" t="inlineStr">
        <is>
          <t>int</t>
        </is>
      </c>
      <c r="F12" s="135" t="inlineStr">
        <is>
          <t>Число конечных объёмов по высоте.</t>
        </is>
      </c>
      <c r="G12" s="135" t="inlineStr">
        <is>
          <t>Увеличение nz уменьшает ошибку дискретизации.</t>
        </is>
      </c>
    </row>
    <row r="13">
      <c r="A13" s="166" t="inlineStr">
        <is>
          <t>Почва</t>
        </is>
      </c>
      <c r="B13" s="133" t="inlineStr">
        <is>
          <t>porosity</t>
        </is>
      </c>
      <c r="C13" s="186" t="n">
        <v>0.43</v>
      </c>
      <c r="D13" s="135" t="inlineStr">
        <is>
          <t>m3/m3</t>
        </is>
      </c>
      <c r="E13" s="135" t="inlineStr">
        <is>
          <t>float</t>
        </is>
      </c>
      <c r="F13" s="135" t="inlineStr">
        <is>
          <t>Пористость / насыщенная объёмная влажность.</t>
        </is>
      </c>
      <c r="G13" s="135" t="inlineStr">
        <is>
          <t>В тесте колонка находится в насыщенном режиме.</t>
        </is>
      </c>
    </row>
    <row r="14">
      <c r="A14" s="166" t="inlineStr">
        <is>
          <t>Почва</t>
        </is>
      </c>
      <c r="B14" s="133" t="inlineStr">
        <is>
          <t>ksat_m_s</t>
        </is>
      </c>
      <c r="C14" s="186" t="n">
        <v>5e-06</v>
      </c>
      <c r="D14" s="135" t="inlineStr">
        <is>
          <t>m/s</t>
        </is>
      </c>
      <c r="E14" s="135" t="inlineStr">
        <is>
          <t>float</t>
        </is>
      </c>
      <c r="F14" s="135" t="inlineStr">
        <is>
          <t>Постоянная гидравлическая проводимость K_s = K0 в линеаризованном уравнении.</t>
        </is>
      </c>
      <c r="G14" s="135" t="inlineStr">
        <is>
          <t>Должна быть больше |q|.</t>
        </is>
      </c>
    </row>
    <row r="15">
      <c r="A15" s="166" t="inlineStr">
        <is>
          <t>Физические константы</t>
        </is>
      </c>
      <c r="B15" s="133" t="inlineStr">
        <is>
          <t>rho_water_kg_m3</t>
        </is>
      </c>
      <c r="C15" s="186" t="n">
        <v>997</v>
      </c>
      <c r="D15" s="135" t="inlineStr">
        <is>
          <t>kg/m3</t>
        </is>
      </c>
      <c r="E15" s="135" t="inlineStr">
        <is>
          <t>float</t>
        </is>
      </c>
      <c r="F15" s="135" t="inlineStr">
        <is>
          <t>Плотность воды для давления и Darcy flux.</t>
        </is>
      </c>
      <c r="G15" s="135" t="str"/>
    </row>
    <row r="16">
      <c r="A16" s="166" t="inlineStr">
        <is>
          <t>Физические константы</t>
        </is>
      </c>
      <c r="B16" s="133" t="inlineStr">
        <is>
          <t>mu_water_pa_s</t>
        </is>
      </c>
      <c r="C16" s="186" t="n">
        <v>0.0008899999999999999</v>
      </c>
      <c r="D16" s="135" t="inlineStr">
        <is>
          <t>Pa*s</t>
        </is>
      </c>
      <c r="E16" s="135" t="inlineStr">
        <is>
          <t>float</t>
        </is>
      </c>
      <c r="F16" s="135" t="inlineStr">
        <is>
          <t>Динамическая вязкость воды, согласованная с дефолтной моделью воды PFLOTRAN; используется для пересчёта Ks в intrinsic permeability.</t>
        </is>
      </c>
      <c r="G16" s="135" t="str"/>
    </row>
    <row r="17">
      <c r="A17" s="166" t="inlineStr">
        <is>
          <t>Физические константы</t>
        </is>
      </c>
      <c r="B17" s="133" t="inlineStr">
        <is>
          <t>gravity_m_s2</t>
        </is>
      </c>
      <c r="C17" s="186" t="n">
        <v>9.806649999999999</v>
      </c>
      <c r="D17" s="135" t="inlineStr">
        <is>
          <t>m/s2</t>
        </is>
      </c>
      <c r="E17" s="135" t="inlineStr">
        <is>
          <t>float</t>
        </is>
      </c>
      <c r="F17" s="135" t="inlineStr">
        <is>
          <t>Ускорение свободного падения.</t>
        </is>
      </c>
      <c r="G17" s="135" t="str"/>
    </row>
    <row r="18">
      <c r="A18" s="166" t="inlineStr">
        <is>
          <t>Граничные условия</t>
        </is>
      </c>
      <c r="B18" s="133" t="inlineStr">
        <is>
          <t>bottom_pressure_pa</t>
        </is>
      </c>
      <c r="C18" s="186" t="n">
        <v>125000</v>
      </c>
      <c r="D18" s="135" t="inlineStr">
        <is>
          <t>Pa</t>
        </is>
      </c>
      <c r="E18" s="135" t="inlineStr">
        <is>
          <t>float</t>
        </is>
      </c>
      <c r="F18" s="135" t="inlineStr">
        <is>
          <t>Опорное абсолютное давление на нижней границе z=0. В тесте задано повышенным, чтобы вся 2-метровая колонка оставалась насыщенной.</t>
        </is>
      </c>
      <c r="G18" s="135" t="inlineStr">
        <is>
          <t>Нужно для единственности steady-задачи.</t>
        </is>
      </c>
    </row>
    <row r="19">
      <c r="A19" s="166" t="inlineStr">
        <is>
          <t>Граничные условия</t>
        </is>
      </c>
      <c r="B19" s="133" t="inlineStr">
        <is>
          <t>imposed_flux_z_m_s</t>
        </is>
      </c>
      <c r="C19" s="186" t="n">
        <v>-1e-06</v>
      </c>
      <c r="D19" s="135" t="inlineStr">
        <is>
          <t>m/s</t>
        </is>
      </c>
      <c r="E19" s="135" t="inlineStr">
        <is>
          <t>float</t>
        </is>
      </c>
      <c r="F19" s="135" t="inlineStr">
        <is>
          <t>Заданный постоянный вертикальный Darcy-поток. z направлена вверх; отрицательный qz означает нисходящий поток.</t>
        </is>
      </c>
      <c r="G19" s="135" t="inlineStr">
        <is>
          <t>В steady-режиме нижний поток должен совпасть с этим значением.</t>
        </is>
      </c>
    </row>
    <row r="20">
      <c r="A20" s="187" t="inlineStr">
        <is>
          <t>Время расчёта</t>
        </is>
      </c>
      <c r="B20" s="63" t="n"/>
      <c r="C20" s="63" t="n"/>
      <c r="D20" s="63" t="n"/>
      <c r="E20" s="63" t="n"/>
      <c r="F20" s="63" t="n"/>
      <c r="G20" s="63" t="n"/>
    </row>
    <row r="21">
      <c r="A21" s="166" t="inlineStr">
        <is>
          <t>Время расчёта</t>
        </is>
      </c>
      <c r="B21" s="133" t="inlineStr">
        <is>
          <t>maximum_timestep_days</t>
        </is>
      </c>
      <c r="C21" s="186" t="n">
        <v>0.1</v>
      </c>
      <c r="D21" s="135" t="inlineStr">
        <is>
          <t>d</t>
        </is>
      </c>
      <c r="E21" s="135" t="inlineStr">
        <is>
          <t>float</t>
        </is>
      </c>
      <c r="F21" s="135" t="inlineStr">
        <is>
          <t>Максимальный шаг времени PFLOTRAN.</t>
        </is>
      </c>
      <c r="G21" s="135" t="inlineStr">
        <is>
          <t>0.1 дня: короткий и устойчивый smoke-test.</t>
        </is>
      </c>
    </row>
    <row r="22">
      <c r="A22" s="166" t="inlineStr">
        <is>
          <t>Допуски</t>
        </is>
      </c>
      <c r="B22" s="133" t="inlineStr">
        <is>
          <t>tolerance_abs_pressure_pa</t>
        </is>
      </c>
      <c r="C22" s="186" t="n">
        <v>250</v>
      </c>
      <c r="D22" s="135" t="inlineStr">
        <is>
          <t>Pa</t>
        </is>
      </c>
      <c r="E22" s="135" t="inlineStr">
        <is>
          <t>float</t>
        </is>
      </c>
      <c r="F22" s="135" t="inlineStr">
        <is>
          <t>Допуск по максимальной абсолютной ошибке давления между PFLOTRAN и аналитикой.</t>
        </is>
      </c>
      <c r="G22" s="135" t="str"/>
    </row>
    <row r="23">
      <c r="A23" s="166" t="inlineStr">
        <is>
          <t>Допуски</t>
        </is>
      </c>
      <c r="B23" s="133" t="inlineStr">
        <is>
          <t>tolerance_rel_pressure</t>
        </is>
      </c>
      <c r="C23" s="186" t="n">
        <v>0.001</v>
      </c>
      <c r="D23" s="135" t="inlineStr">
        <is>
          <t>-</t>
        </is>
      </c>
      <c r="E23" s="135" t="inlineStr">
        <is>
          <t>float</t>
        </is>
      </c>
      <c r="F23" s="135" t="inlineStr">
        <is>
          <t>Допуск по относительной ошибке давления.</t>
        </is>
      </c>
      <c r="G23" s="135" t="str"/>
    </row>
    <row r="24">
      <c r="A24" s="166" t="inlineStr">
        <is>
          <t>Solver</t>
        </is>
      </c>
      <c r="B24" s="133" t="inlineStr">
        <is>
          <t>mpi_processes</t>
        </is>
      </c>
      <c r="C24" s="186" t="n">
        <v>1</v>
      </c>
      <c r="D24" s="135" t="inlineStr">
        <is>
          <t>-</t>
        </is>
      </c>
      <c r="E24" s="135" t="inlineStr">
        <is>
          <t>int</t>
        </is>
      </c>
      <c r="F24" s="135" t="inlineStr">
        <is>
          <t>Число MPI-процессов для тестового запуска.</t>
        </is>
      </c>
      <c r="G24" s="135" t="inlineStr">
        <is>
          <t>Для первой проверки лучше 1.</t>
        </is>
      </c>
    </row>
    <row r="25">
      <c r="A25" s="166" t="n"/>
      <c r="B25" s="133" t="n"/>
      <c r="C25" s="186" t="n"/>
      <c r="D25" s="135" t="n"/>
      <c r="E25" s="135" t="n"/>
      <c r="F25" s="135" t="n"/>
      <c r="G25" s="135" t="n"/>
    </row>
    <row r="26">
      <c r="A26" s="166" t="inlineStr">
        <is>
          <t>Контрольные формулы</t>
        </is>
      </c>
      <c r="B26" s="133" t="n"/>
      <c r="C26" s="186" t="n"/>
      <c r="D26" s="135" t="n"/>
      <c r="E26" s="135" t="n"/>
      <c r="F26" s="135" t="n"/>
      <c r="G26" s="135" t="n"/>
    </row>
    <row r="27">
      <c r="A27" s="188" t="inlineStr">
        <is>
          <t>Проверка</t>
        </is>
      </c>
      <c r="B27" s="63" t="n"/>
      <c r="C27" s="63" t="n"/>
      <c r="D27" s="63" t="n"/>
      <c r="E27" s="63" t="n"/>
      <c r="F27" s="63" t="n"/>
      <c r="G27" s="63" t="n"/>
    </row>
    <row r="28">
      <c r="A28" s="166" t="inlineStr">
        <is>
          <t>Проверка</t>
        </is>
      </c>
      <c r="B28" s="133" t="inlineStr">
        <is>
          <t>intrinsic_perm_m2</t>
        </is>
      </c>
      <c r="C28" s="186">
        <f>C14*C16/(C15*C17)</f>
        <v/>
      </c>
      <c r="D28" s="135" t="inlineStr">
        <is>
          <t>m2</t>
        </is>
      </c>
      <c r="E28" s="135" t="inlineStr">
        <is>
          <t>formula</t>
        </is>
      </c>
      <c r="F28" s="135" t="inlineStr">
        <is>
          <t>Intrinsic permeability для PFLOTRAN: k = Ks*mu/(rho*g).</t>
        </is>
      </c>
      <c r="G28" s="135" t="str"/>
    </row>
    <row r="29">
      <c r="A29" s="169" t="inlineStr">
        <is>
          <t>Проверка</t>
        </is>
      </c>
      <c r="B29" s="121" t="inlineStr">
        <is>
          <t>top_pressure_expected_pa</t>
        </is>
      </c>
      <c r="C29" s="189">
        <f>C18-C15*C17*(1+C19/C14)*C7</f>
        <v/>
      </c>
      <c r="D29" s="64" t="inlineStr">
        <is>
          <t>Pa</t>
        </is>
      </c>
      <c r="E29" s="64" t="inlineStr">
        <is>
          <t>formula</t>
        </is>
      </c>
      <c r="F29" s="64" t="inlineStr">
        <is>
          <t>Аналитически ожидаемое давление на верхней границе: P(L)=P_bottom-rho*g*(1+qz/Ks)*L.</t>
        </is>
      </c>
      <c r="G29" s="64" t="inlineStr">
        <is>
          <t>В текущем тесте не задаётся как BC, а проверяется как результат.</t>
        </is>
      </c>
    </row>
    <row r="30">
      <c r="A30" s="169" t="inlineStr">
        <is>
          <t>Проверка</t>
        </is>
      </c>
      <c r="B30" s="121" t="inlineStr">
        <is>
          <t>pressure_gradient_pa_m</t>
        </is>
      </c>
      <c r="C30" s="189">
        <f>-C15*C17*(1+C19/C14)</f>
        <v/>
      </c>
      <c r="D30" s="64" t="inlineStr">
        <is>
          <t>Pa/m</t>
        </is>
      </c>
      <c r="E30" s="64" t="inlineStr">
        <is>
          <t>formula</t>
        </is>
      </c>
      <c r="F30" s="64" t="inlineStr">
        <is>
          <t>Градиент давления dP/dz для z, направленной вверх.</t>
        </is>
      </c>
      <c r="G30" s="64" t="str"/>
    </row>
    <row r="31">
      <c r="A31" s="169" t="inlineStr">
        <is>
          <t>Проверка</t>
        </is>
      </c>
      <c r="B31" s="121" t="inlineStr">
        <is>
          <t>well_posed_condition</t>
        </is>
      </c>
      <c r="C31" s="189">
        <f>IF(AND(ABS(C19)&lt;0.95*C14,C29&gt;101325),"OK","CHECK")</f>
        <v/>
      </c>
      <c r="D31" s="64" t="inlineStr">
        <is>
          <t>-</t>
        </is>
      </c>
      <c r="E31" s="64" t="inlineStr">
        <is>
          <t>formula</t>
        </is>
      </c>
      <c r="F31" s="64" t="inlineStr">
        <is>
          <t>Контроль корректности saturated-test: поток меньше Ks, а верхнее давление выше атмосферного.</t>
        </is>
      </c>
      <c r="G31" s="64" t="inlineStr">
        <is>
          <t>OK означает корректный синтетический тест.</t>
        </is>
      </c>
    </row>
    <row r="32">
      <c r="A32" s="120" t="n"/>
      <c r="B32" s="121" t="n"/>
      <c r="C32" s="190" t="n"/>
      <c r="D32" s="64" t="n"/>
      <c r="E32" s="64" t="n"/>
      <c r="F32" s="64" t="n"/>
      <c r="G32" s="64" t="n"/>
    </row>
    <row r="33">
      <c r="A33" s="120" t="n"/>
      <c r="B33" s="121" t="n"/>
      <c r="C33" s="125" t="n"/>
      <c r="D33" s="64" t="n"/>
      <c r="E33" s="64" t="n"/>
      <c r="F33" s="64" t="n"/>
      <c r="G33" s="64" t="n"/>
    </row>
    <row r="34">
      <c r="A34" s="120" t="n"/>
      <c r="B34" s="121" t="n"/>
      <c r="C34" s="125" t="n"/>
      <c r="D34" s="64" t="n"/>
      <c r="E34" s="64" t="n"/>
      <c r="F34" s="64" t="n"/>
      <c r="G34" s="64" t="n"/>
    </row>
    <row r="35">
      <c r="A35" s="120" t="n"/>
      <c r="B35" s="121" t="n"/>
      <c r="C35" s="190" t="n"/>
      <c r="D35" s="64" t="n"/>
      <c r="E35" s="64" t="n"/>
      <c r="F35" s="64" t="n"/>
      <c r="G35" s="64" t="n"/>
    </row>
    <row r="36">
      <c r="A36" s="120" t="n"/>
      <c r="B36" s="121" t="n"/>
      <c r="C36" s="190" t="n"/>
      <c r="D36" s="64" t="n"/>
      <c r="E36" s="64" t="n"/>
      <c r="F36" s="64" t="n"/>
      <c r="G36" s="64" t="n"/>
    </row>
    <row r="37">
      <c r="A37" s="120" t="n"/>
      <c r="B37" s="121" t="n"/>
      <c r="C37" s="190" t="n"/>
      <c r="D37" s="64" t="n"/>
      <c r="E37" s="64" t="n"/>
      <c r="F37" s="64" t="n"/>
      <c r="G37" s="64" t="n"/>
    </row>
    <row r="38">
      <c r="A38" s="120" t="n"/>
      <c r="B38" s="121" t="n"/>
      <c r="C38" s="190" t="n"/>
      <c r="D38" s="64" t="n"/>
      <c r="E38" s="64" t="n"/>
      <c r="F38" s="64" t="n"/>
      <c r="G38" s="64" t="n"/>
    </row>
    <row r="39">
      <c r="A39" s="120" t="n"/>
      <c r="B39" s="121" t="n"/>
      <c r="C39" s="190" t="n"/>
      <c r="D39" s="64" t="n"/>
      <c r="E39" s="64" t="n"/>
      <c r="F39" s="64" t="n"/>
      <c r="G39" s="64" t="n"/>
    </row>
  </sheetData>
  <mergeCells count="4">
    <mergeCell ref="A27:G27"/>
    <mergeCell ref="A20:G20"/>
    <mergeCell ref="A2:G2"/>
    <mergeCell ref="A1:G1"/>
  </mergeCells>
  <dataValidations count="2">
    <dataValidation sqref="C5" showDropDown="0" showInputMessage="0" showErrorMessage="0" allowBlank="0" type="list">
      <formula1>"TRUE,FALSE"</formula1>
    </dataValidation>
    <dataValidation sqref="C6" showDropDown="0" showInputMessage="0" showErrorMessage="0" allowBlank="0" type="list">
      <formula1>"linear_darcy_saturated_column"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enabled</t>
        </is>
      </c>
      <c r="C1" t="inlineStr">
        <is>
          <t>description_ru</t>
        </is>
      </c>
      <c r="D1" t="inlineStr">
        <is>
          <t>output_dir</t>
        </is>
      </c>
      <c r="E1" t="inlineStr">
        <is>
          <t>analytical_basis</t>
        </is>
      </c>
    </row>
    <row r="2">
      <c r="A2" t="inlineStr">
        <is>
          <t>_test_linear_darcy</t>
        </is>
      </c>
      <c r="B2" t="b">
        <v>1</v>
      </c>
      <c r="C2" t="inlineStr">
        <is>
          <t>Насыщенная линейная Darcy-колонка</t>
        </is>
      </c>
      <c r="D2" t="inlineStr">
        <is>
          <t>output/runs/_test_linear_darcy</t>
        </is>
      </c>
      <c r="E2" t="inlineStr">
        <is>
          <t>P(z)=P_bottom-rho*g*(1+qz/Ks)*z</t>
        </is>
      </c>
    </row>
    <row r="3">
      <c r="A3" t="inlineStr">
        <is>
          <t>_test_hydrostatic_vg_no_flow</t>
        </is>
      </c>
      <c r="B3" t="b">
        <v>1</v>
      </c>
      <c r="C3" t="inlineStr">
        <is>
          <t>Гидростатическое равновесие VG</t>
        </is>
      </c>
      <c r="D3" t="inlineStr">
        <is>
          <t>output/runs/_test_hydrostatic_vg_no_flow</t>
        </is>
      </c>
      <c r="E3" t="inlineStr">
        <is>
          <t>P(z)=P_bottom-rho*g*z; S=VG(h)</t>
        </is>
      </c>
    </row>
    <row r="4">
      <c r="A4" t="inlineStr">
        <is>
          <t>_test_unit_gradient_unsat</t>
        </is>
      </c>
      <c r="B4" t="b">
        <v>1</v>
      </c>
      <c r="C4" t="inlineStr">
        <is>
          <t>Ненасыщенный unit-gradient drainage</t>
        </is>
      </c>
      <c r="D4" t="inlineStr">
        <is>
          <t>output/runs/_test_unit_gradient_unsat</t>
        </is>
      </c>
      <c r="E4" t="inlineStr">
        <is>
          <t>P=const; q=-Ks*kr(S)</t>
        </is>
      </c>
    </row>
    <row r="5">
      <c r="A5" t="inlineStr">
        <is>
          <t>transient_uniform_storage_vg</t>
        </is>
      </c>
      <c r="B5" t="inlineStr">
        <is>
          <t>_test_transient_uniform_storage_vg</t>
        </is>
      </c>
      <c r="C5" t="inlineStr">
        <is>
          <t>Transient uniform no-flow VG storage check with RATE LIST source/sink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Насыщенная линейная Darcy-колонка.</t>
        </is>
      </c>
    </row>
    <row r="4">
      <c r="B4" t="inlineStr">
        <is>
          <t>parameter_name</t>
        </is>
      </c>
      <c r="C4" t="inlineStr">
        <is>
          <t>value</t>
        </is>
      </c>
      <c r="D4" t="inlineStr">
        <is>
          <t>unit</t>
        </is>
      </c>
      <c r="E4" t="inlineStr">
        <is>
          <t>required</t>
        </is>
      </c>
      <c r="F4" t="inlineStr">
        <is>
          <t>description_ru</t>
        </is>
      </c>
    </row>
    <row r="5">
      <c r="B5" t="inlineStr">
        <is>
          <t>enabled</t>
        </is>
      </c>
      <c r="C5" t="b">
        <v>1</v>
      </c>
      <c r="E5" t="b">
        <v>1</v>
      </c>
      <c r="F5" t="inlineStr">
        <is>
          <t>Включить тест в suite.</t>
        </is>
      </c>
    </row>
    <row r="6">
      <c r="B6" t="inlineStr">
        <is>
          <t>test_id</t>
        </is>
      </c>
      <c r="C6" t="inlineStr">
        <is>
          <t>_test_linear_darcy</t>
        </is>
      </c>
      <c r="E6" t="b">
        <v>1</v>
      </c>
      <c r="F6" t="inlineStr">
        <is>
          <t>Насыщенная линейная Darcy-колонка.</t>
        </is>
      </c>
    </row>
    <row r="7">
      <c r="B7" t="inlineStr">
        <is>
          <t>column_height_m</t>
        </is>
      </c>
      <c r="C7" t="n">
        <v>2</v>
      </c>
      <c r="D7" t="inlineStr">
        <is>
          <t>m</t>
        </is>
      </c>
      <c r="E7" t="b">
        <v>1</v>
      </c>
      <c r="F7" t="inlineStr">
        <is>
          <t>Высота колонки.</t>
        </is>
      </c>
    </row>
    <row r="8">
      <c r="B8" t="inlineStr">
        <is>
          <t>length_x_m</t>
        </is>
      </c>
      <c r="C8" t="n">
        <v>1</v>
      </c>
      <c r="D8" t="inlineStr">
        <is>
          <t>m</t>
        </is>
      </c>
      <c r="E8" t="b">
        <v>1</v>
      </c>
      <c r="F8" t="inlineStr">
        <is>
          <t>Размер по X.</t>
        </is>
      </c>
    </row>
    <row r="9">
      <c r="B9" t="inlineStr">
        <is>
          <t>length_y_m</t>
        </is>
      </c>
      <c r="C9" t="n">
        <v>1</v>
      </c>
      <c r="D9" t="inlineStr">
        <is>
          <t>m</t>
        </is>
      </c>
      <c r="E9" t="b">
        <v>1</v>
      </c>
      <c r="F9" t="inlineStr">
        <is>
          <t>Размер по Y.</t>
        </is>
      </c>
    </row>
    <row r="10">
      <c r="B10" t="inlineStr">
        <is>
          <t>nx</t>
        </is>
      </c>
      <c r="C10" t="n">
        <v>1</v>
      </c>
      <c r="E10" t="b">
        <v>1</v>
      </c>
      <c r="F10" t="inlineStr">
        <is>
          <t>Число ячеек по X.</t>
        </is>
      </c>
    </row>
    <row r="11">
      <c r="B11" t="inlineStr">
        <is>
          <t>ny</t>
        </is>
      </c>
      <c r="C11" t="n">
        <v>1</v>
      </c>
      <c r="E11" t="b">
        <v>1</v>
      </c>
      <c r="F11" t="inlineStr">
        <is>
          <t>Число ячеек по Y.</t>
        </is>
      </c>
    </row>
    <row r="12">
      <c r="B12" t="inlineStr">
        <is>
          <t>nz</t>
        </is>
      </c>
      <c r="C12" t="n">
        <v>80</v>
      </c>
      <c r="E12" t="b">
        <v>1</v>
      </c>
      <c r="F12" t="inlineStr">
        <is>
          <t>Число ячеек по Z.</t>
        </is>
      </c>
    </row>
    <row r="13">
      <c r="B13" t="inlineStr">
        <is>
          <t>porosity</t>
        </is>
      </c>
      <c r="C13" t="n">
        <v>0.43</v>
      </c>
      <c r="E13" t="b">
        <v>1</v>
      </c>
      <c r="F13" t="inlineStr">
        <is>
          <t>Пористость насыщенной колонки.</t>
        </is>
      </c>
    </row>
    <row r="14">
      <c r="B14" t="inlineStr">
        <is>
          <t>ksat_m_s</t>
        </is>
      </c>
      <c r="C14" t="n">
        <v>5e-06</v>
      </c>
      <c r="D14" t="inlineStr">
        <is>
          <t>m/s</t>
        </is>
      </c>
      <c r="E14" t="b">
        <v>1</v>
      </c>
      <c r="F14" t="inlineStr">
        <is>
          <t>Насыщенная гидропроводность.</t>
        </is>
      </c>
    </row>
    <row r="15">
      <c r="B15" t="inlineStr">
        <is>
          <t>rho_water_kg_m3</t>
        </is>
      </c>
      <c r="C15" t="n">
        <v>997</v>
      </c>
      <c r="D15" t="inlineStr">
        <is>
          <t>kg/m3</t>
        </is>
      </c>
      <c r="E15" t="b">
        <v>1</v>
      </c>
      <c r="F15" t="inlineStr">
        <is>
          <t>Плотность воды.</t>
        </is>
      </c>
    </row>
    <row r="16">
      <c r="B16" t="inlineStr">
        <is>
          <t>mu_water_pa_s</t>
        </is>
      </c>
      <c r="C16" t="n">
        <v>0.0008899999999999999</v>
      </c>
      <c r="D16" t="inlineStr">
        <is>
          <t>Pa*s</t>
        </is>
      </c>
      <c r="E16" t="b">
        <v>1</v>
      </c>
      <c r="F16" t="inlineStr">
        <is>
          <t>Вязкость воды, согласованная с PFLOTRAN runtime.</t>
        </is>
      </c>
    </row>
    <row r="17">
      <c r="B17" t="inlineStr">
        <is>
          <t>gravity_m_s2</t>
        </is>
      </c>
      <c r="C17" t="n">
        <v>9.806649999999999</v>
      </c>
      <c r="D17" t="inlineStr">
        <is>
          <t>m/s2</t>
        </is>
      </c>
      <c r="E17" t="b">
        <v>1</v>
      </c>
      <c r="F17" t="inlineStr">
        <is>
          <t>Ускорение свободного падения.</t>
        </is>
      </c>
    </row>
    <row r="18">
      <c r="B18" t="inlineStr">
        <is>
          <t>bottom_pressure_pa</t>
        </is>
      </c>
      <c r="C18" t="n">
        <v>125000</v>
      </c>
      <c r="D18" t="inlineStr">
        <is>
          <t>Pa</t>
        </is>
      </c>
      <c r="E18" t="b">
        <v>1</v>
      </c>
      <c r="F18" t="inlineStr">
        <is>
          <t>Опорное абсолютное давление на нижней границе z=0; задано повышенным для насыщенности.</t>
        </is>
      </c>
    </row>
    <row r="19">
      <c r="B19" t="inlineStr">
        <is>
          <t>imposed_flux_z_m_s</t>
        </is>
      </c>
      <c r="C19" t="n">
        <v>-1e-06</v>
      </c>
      <c r="D19" t="inlineStr">
        <is>
          <t>m/s</t>
        </is>
      </c>
      <c r="E19" t="b">
        <v>1</v>
      </c>
      <c r="F19" t="inlineStr">
        <is>
          <t>z направлена вверх; отрицательный qz означает нисходящий Darcy-поток.</t>
        </is>
      </c>
    </row>
    <row r="20">
      <c r="B20" t="inlineStr">
        <is>
          <t>final_time_days</t>
        </is>
      </c>
      <c r="C20" t="n">
        <v>10</v>
      </c>
      <c r="D20" t="inlineStr">
        <is>
          <t>d</t>
        </is>
      </c>
      <c r="E20" t="b">
        <v>1</v>
      </c>
      <c r="F20" t="inlineStr">
        <is>
          <t>Длительность расчёта.</t>
        </is>
      </c>
    </row>
    <row r="21">
      <c r="B21" t="inlineStr">
        <is>
          <t>maximum_timestep_days</t>
        </is>
      </c>
      <c r="C21" t="n">
        <v>0.1</v>
      </c>
      <c r="D21" t="inlineStr">
        <is>
          <t>d</t>
        </is>
      </c>
      <c r="E21" t="b">
        <v>1</v>
      </c>
      <c r="F21" t="inlineStr">
        <is>
          <t>Максимальный шаг времени.</t>
        </is>
      </c>
    </row>
    <row r="22">
      <c r="B22" t="inlineStr">
        <is>
          <t>tolerance_abs_pressure_pa</t>
        </is>
      </c>
      <c r="C22" t="n">
        <v>10</v>
      </c>
      <c r="D22" t="inlineStr">
        <is>
          <t>Pa</t>
        </is>
      </c>
      <c r="E22" t="b">
        <v>1</v>
      </c>
      <c r="F22" t="inlineStr">
        <is>
          <t>Жёсткий допуск давления.</t>
        </is>
      </c>
    </row>
    <row r="23">
      <c r="B23" t="inlineStr">
        <is>
          <t>tolerance_rel_pressure</t>
        </is>
      </c>
      <c r="C23" t="n">
        <v>0.001</v>
      </c>
      <c r="E23" t="b">
        <v>1</v>
      </c>
      <c r="F23" t="inlineStr">
        <is>
          <t>Относительный допуск давления.</t>
        </is>
      </c>
    </row>
    <row r="24">
      <c r="B24" t="inlineStr">
        <is>
          <t>mpi_processes</t>
        </is>
      </c>
      <c r="C24" t="n">
        <v>1</v>
      </c>
      <c r="E24" t="b">
        <v>1</v>
      </c>
      <c r="F24" t="inlineStr">
        <is>
          <t>Число MPI-процессов.</t>
        </is>
      </c>
    </row>
    <row r="25">
      <c r="B25" t="inlineStr">
        <is>
          <t>top_pressure_expected_pa</t>
        </is>
      </c>
      <c r="C25">
        <f>C18-C15*C17*(1+C19/C14)*C7</f>
        <v/>
      </c>
      <c r="D25" t="inlineStr">
        <is>
          <t>Pa</t>
        </is>
      </c>
      <c r="E25" t="b">
        <v>0</v>
      </c>
      <c r="F25" t="inlineStr">
        <is>
          <t>P(L)=P_bottom-rho*g*(1+qz/Ks)*L.</t>
        </is>
      </c>
    </row>
    <row r="26">
      <c r="B26" t="inlineStr">
        <is>
          <t>pressure_gradient_pa_m</t>
        </is>
      </c>
      <c r="C26">
        <f>-C15*C17*(1+C19/C14)</f>
        <v/>
      </c>
      <c r="D26" t="inlineStr">
        <is>
          <t>Pa/m</t>
        </is>
      </c>
      <c r="E26" t="b">
        <v>0</v>
      </c>
      <c r="F26" t="inlineStr">
        <is>
          <t>Градиент давления dP/dz для z, направленной вверх.</t>
        </is>
      </c>
    </row>
    <row r="27">
      <c r="B27" t="inlineStr">
        <is>
          <t>well_posed_condition</t>
        </is>
      </c>
      <c r="C27">
        <f>IF(AND(ABS(C19)&lt;0.95*C14,C29&gt;101325),"OK","CHECK")</f>
        <v/>
      </c>
      <c r="E27" t="b">
        <v>0</v>
      </c>
      <c r="F27" t="inlineStr">
        <is>
          <t>Поток меньше Ks, верхнее давление выше атмосферного.</t>
        </is>
      </c>
    </row>
    <row r="28">
      <c r="A28" t="inlineStr">
        <is>
          <t>diagnostics</t>
        </is>
      </c>
      <c r="B28" t="inlineStr">
        <is>
          <t>pressure_report_zero_threshold_pa</t>
        </is>
      </c>
      <c r="C28" t="n">
        <v>10</v>
      </c>
      <c r="D28" t="inlineStr">
        <is>
          <t>Порог только для отображения ошибки давления; PASS/FAIL задаётся pressure_abs_tolerance_pa.</t>
        </is>
      </c>
    </row>
    <row r="29">
      <c r="A29" t="inlineStr">
        <is>
          <t>diagnostics</t>
        </is>
      </c>
      <c r="B29" t="inlineStr">
        <is>
          <t>allow_solver_cuts</t>
        </is>
      </c>
      <c r="C29" t="b">
        <v>0</v>
      </c>
      <c r="D29" t="inlineStr">
        <is>
          <t>Для текущих verification-тестов solver cuts не допускаются.</t>
        </is>
      </c>
    </row>
    <row r="30">
      <c r="A30" t="inlineStr">
        <is>
          <t>diagnostics</t>
        </is>
      </c>
      <c r="B30" t="inlineStr">
        <is>
          <t>enable_conservation_file</t>
        </is>
      </c>
      <c r="C30" t="b">
        <v>1</v>
      </c>
      <c r="D30" t="inlineStr">
        <is>
          <t>Включает PFLOTRAN CONSERVATION_FILE для диагностического probe потоков/баланса.</t>
        </is>
      </c>
    </row>
    <row r="31">
      <c r="A31" t="inlineStr">
        <is>
          <t>diagnostics</t>
        </is>
      </c>
      <c r="B31" t="inlineStr">
        <is>
          <t>enable_mass_balance_file</t>
        </is>
      </c>
      <c r="C31" t="b">
        <v>1</v>
      </c>
      <c r="D31" t="inlineStr">
        <is>
          <t>Включает PFLOTRAN MASS_BALANCE_FILE для диагностического probe потоков/баланса.</t>
        </is>
      </c>
    </row>
    <row r="32">
      <c r="A32" t="inlineStr">
        <is>
          <t>diagnostics</t>
        </is>
      </c>
      <c r="B32" t="inlineStr">
        <is>
          <t>enable_direct_flux_output_probe</t>
        </is>
      </c>
      <c r="C32" t="b">
        <v>1</v>
      </c>
      <c r="D32" t="inlineStr">
        <is>
          <t>Пробная генерация mass/conservation/velocity output; fallback не валит тест.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Гидростатический no-flow тест: нулевой полный градиент hydraulic head, q=0.</t>
        </is>
      </c>
    </row>
    <row r="4">
      <c r="B4" t="inlineStr">
        <is>
          <t>parameter_name</t>
        </is>
      </c>
      <c r="C4" t="inlineStr">
        <is>
          <t>value</t>
        </is>
      </c>
      <c r="D4" t="inlineStr">
        <is>
          <t>unit</t>
        </is>
      </c>
      <c r="E4" t="inlineStr">
        <is>
          <t>required</t>
        </is>
      </c>
      <c r="F4" t="inlineStr">
        <is>
          <t>description_ru</t>
        </is>
      </c>
    </row>
    <row r="5">
      <c r="B5" t="inlineStr">
        <is>
          <t>enabled</t>
        </is>
      </c>
      <c r="C5" t="b">
        <v>1</v>
      </c>
      <c r="E5" t="b">
        <v>1</v>
      </c>
      <c r="F5" t="inlineStr">
        <is>
          <t>Включить тест в suite.</t>
        </is>
      </c>
    </row>
    <row r="6">
      <c r="B6" t="inlineStr">
        <is>
          <t>test_id</t>
        </is>
      </c>
      <c r="C6" t="inlineStr">
        <is>
          <t>_test_hydrostatic_vg_no_flow</t>
        </is>
      </c>
      <c r="E6" t="b">
        <v>1</v>
      </c>
      <c r="F6" t="inlineStr">
        <is>
          <t>Гидростатическое равновесие VG.</t>
        </is>
      </c>
    </row>
    <row r="7">
      <c r="B7" t="inlineStr">
        <is>
          <t>column_height_m</t>
        </is>
      </c>
      <c r="C7" t="n">
        <v>2</v>
      </c>
      <c r="D7" t="inlineStr">
        <is>
          <t>m</t>
        </is>
      </c>
      <c r="E7" t="b">
        <v>1</v>
      </c>
      <c r="F7" t="inlineStr">
        <is>
          <t>Высота колонки.</t>
        </is>
      </c>
    </row>
    <row r="8">
      <c r="B8" t="inlineStr">
        <is>
          <t>length_x_m</t>
        </is>
      </c>
      <c r="C8" t="n">
        <v>1</v>
      </c>
      <c r="D8" t="inlineStr">
        <is>
          <t>m</t>
        </is>
      </c>
      <c r="E8" t="b">
        <v>1</v>
      </c>
      <c r="F8" t="inlineStr">
        <is>
          <t>Размер по X.</t>
        </is>
      </c>
    </row>
    <row r="9">
      <c r="B9" t="inlineStr">
        <is>
          <t>length_y_m</t>
        </is>
      </c>
      <c r="C9" t="n">
        <v>1</v>
      </c>
      <c r="D9" t="inlineStr">
        <is>
          <t>m</t>
        </is>
      </c>
      <c r="E9" t="b">
        <v>1</v>
      </c>
      <c r="F9" t="inlineStr">
        <is>
          <t>Размер по Y.</t>
        </is>
      </c>
    </row>
    <row r="10">
      <c r="B10" t="inlineStr">
        <is>
          <t>nx</t>
        </is>
      </c>
      <c r="C10" t="n">
        <v>1</v>
      </c>
      <c r="E10" t="b">
        <v>1</v>
      </c>
      <c r="F10" t="inlineStr">
        <is>
          <t>Число ячеек по X.</t>
        </is>
      </c>
    </row>
    <row r="11">
      <c r="B11" t="inlineStr">
        <is>
          <t>ny</t>
        </is>
      </c>
      <c r="C11" t="n">
        <v>1</v>
      </c>
      <c r="E11" t="b">
        <v>1</v>
      </c>
      <c r="F11" t="inlineStr">
        <is>
          <t>Число ячеек по Y.</t>
        </is>
      </c>
    </row>
    <row r="12">
      <c r="B12" t="inlineStr">
        <is>
          <t>nz</t>
        </is>
      </c>
      <c r="C12" t="n">
        <v>80</v>
      </c>
      <c r="E12" t="b">
        <v>1</v>
      </c>
      <c r="F12" t="inlineStr">
        <is>
          <t>Число ячеек по Z.</t>
        </is>
      </c>
    </row>
    <row r="13">
      <c r="B13" t="inlineStr">
        <is>
          <t>theta_s</t>
        </is>
      </c>
      <c r="C13" t="n">
        <v>0.43</v>
      </c>
      <c r="E13" t="b">
        <v>1</v>
      </c>
      <c r="F13" t="inlineStr">
        <is>
          <t>Насыщенная объемная влажность; пористость PFLOTRAN.</t>
        </is>
      </c>
    </row>
    <row r="14">
      <c r="B14" t="inlineStr">
        <is>
          <t>theta_r</t>
        </is>
      </c>
      <c r="C14" t="n">
        <v>0.045</v>
      </c>
      <c r="E14" t="b">
        <v>1</v>
      </c>
      <c r="F14" t="inlineStr">
        <is>
          <t>Остаточная объемная влажность.</t>
        </is>
      </c>
    </row>
    <row r="15">
      <c r="B15" t="inlineStr">
        <is>
          <t>residual_saturation</t>
        </is>
      </c>
      <c r="C15">
        <f>C14/C13</f>
        <v/>
      </c>
      <c r="E15" t="b">
        <v>1</v>
      </c>
      <c r="F15" t="inlineStr">
        <is>
          <t>theta_r/theta_s.</t>
        </is>
      </c>
    </row>
    <row r="16">
      <c r="B16" t="inlineStr">
        <is>
          <t>alpha_1_m</t>
        </is>
      </c>
      <c r="C16" t="n">
        <v>3.6</v>
      </c>
      <c r="D16" t="inlineStr">
        <is>
          <t>1/m</t>
        </is>
      </c>
      <c r="E16" t="b">
        <v>1</v>
      </c>
      <c r="F16" t="inlineStr">
        <is>
          <t>Параметр van Genuchten.</t>
        </is>
      </c>
    </row>
    <row r="17">
      <c r="B17" t="inlineStr">
        <is>
          <t>n</t>
        </is>
      </c>
      <c r="C17" t="n">
        <v>1.56</v>
      </c>
      <c r="E17" t="b">
        <v>1</v>
      </c>
      <c r="F17" t="inlineStr">
        <is>
          <t>Параметр формы VG.</t>
        </is>
      </c>
    </row>
    <row r="18">
      <c r="B18" t="inlineStr">
        <is>
          <t>m</t>
        </is>
      </c>
      <c r="C18">
        <f>1-1/C17</f>
        <v/>
      </c>
      <c r="E18" t="b">
        <v>1</v>
      </c>
      <c r="F18" t="inlineStr">
        <is>
          <t>m=1-1/n.</t>
        </is>
      </c>
    </row>
    <row r="19">
      <c r="B19" t="inlineStr">
        <is>
          <t>ksat_m_s</t>
        </is>
      </c>
      <c r="C19" t="n">
        <v>5e-06</v>
      </c>
      <c r="D19" t="inlineStr">
        <is>
          <t>m/s</t>
        </is>
      </c>
      <c r="E19" t="b">
        <v>1</v>
      </c>
      <c r="F19" t="inlineStr">
        <is>
          <t>Насыщенная гидропроводность.</t>
        </is>
      </c>
    </row>
    <row r="20">
      <c r="B20" t="inlineStr">
        <is>
          <t>rho_water_kg_m3</t>
        </is>
      </c>
      <c r="C20" t="n">
        <v>997</v>
      </c>
      <c r="D20" t="inlineStr">
        <is>
          <t>kg/m3</t>
        </is>
      </c>
      <c r="E20" t="b">
        <v>1</v>
      </c>
      <c r="F20" t="inlineStr">
        <is>
          <t>Плотность воды.</t>
        </is>
      </c>
    </row>
    <row r="21">
      <c r="B21" t="inlineStr">
        <is>
          <t>mu_water_pa_s</t>
        </is>
      </c>
      <c r="C21" t="n">
        <v>0.0008899999999999999</v>
      </c>
      <c r="D21" t="inlineStr">
        <is>
          <t>Pa*s</t>
        </is>
      </c>
      <c r="E21" t="b">
        <v>1</v>
      </c>
      <c r="F21" t="inlineStr">
        <is>
          <t>Вязкость воды, согласованная с PFLOTRAN runtime.</t>
        </is>
      </c>
    </row>
    <row r="22">
      <c r="B22" t="inlineStr">
        <is>
          <t>gravity_m_s2</t>
        </is>
      </c>
      <c r="C22" t="n">
        <v>9.806649999999999</v>
      </c>
      <c r="D22" t="inlineStr">
        <is>
          <t>m/s2</t>
        </is>
      </c>
      <c r="E22" t="b">
        <v>1</v>
      </c>
      <c r="F22" t="inlineStr">
        <is>
          <t>Ускорение свободного падения.</t>
        </is>
      </c>
    </row>
    <row r="23">
      <c r="B23" t="inlineStr">
        <is>
          <t>atmospheric_pressure_pa</t>
        </is>
      </c>
      <c r="C23" t="n">
        <v>101325</v>
      </c>
      <c r="D23" t="inlineStr">
        <is>
          <t>Pa</t>
        </is>
      </c>
      <c r="E23" t="b">
        <v>1</v>
      </c>
      <c r="F23" t="inlineStr">
        <is>
          <t>Атмосферное давление для pressure head.</t>
        </is>
      </c>
    </row>
    <row r="24">
      <c r="B24" t="inlineStr">
        <is>
          <t>bottom_pressure_pa</t>
        </is>
      </c>
      <c r="C24" t="n">
        <v>101325</v>
      </c>
      <c r="D24" t="inlineStr">
        <is>
          <t>Pa</t>
        </is>
      </c>
      <c r="E24" t="b">
        <v>1</v>
      </c>
      <c r="F24" t="inlineStr">
        <is>
          <t>Давление снизу; P(z)=P_bottom-rho*g*z.</t>
        </is>
      </c>
    </row>
    <row r="25">
      <c r="B25" t="inlineStr">
        <is>
          <t>duration_days</t>
        </is>
      </c>
      <c r="C25" t="n">
        <v>1</v>
      </c>
      <c r="D25" t="inlineStr">
        <is>
          <t>d</t>
        </is>
      </c>
      <c r="E25" t="b">
        <v>1</v>
      </c>
      <c r="F25" t="inlineStr">
        <is>
          <t>Длительность расчёта.</t>
        </is>
      </c>
    </row>
    <row r="26">
      <c r="B26" t="inlineStr">
        <is>
          <t>pressure_abs_tolerance_pa</t>
        </is>
      </c>
      <c r="C26" t="n">
        <v>10</v>
      </c>
      <c r="D26" t="inlineStr">
        <is>
          <t>Pa</t>
        </is>
      </c>
      <c r="E26" t="b">
        <v>1</v>
      </c>
      <c r="F26" t="inlineStr">
        <is>
          <t>Допуск давления.</t>
        </is>
      </c>
    </row>
    <row r="27">
      <c r="B27" t="inlineStr">
        <is>
          <t>saturation_abs_tolerance</t>
        </is>
      </c>
      <c r="C27" t="n">
        <v>0.0001</v>
      </c>
      <c r="E27" t="b">
        <v>1</v>
      </c>
      <c r="F27" t="inlineStr">
        <is>
          <t>Допуск насыщенности с учётом точности TECPLOT.</t>
        </is>
      </c>
    </row>
    <row r="28">
      <c r="B28" t="inlineStr">
        <is>
          <t>flux_abs_tolerance_m_s</t>
        </is>
      </c>
      <c r="C28" t="n">
        <v>1e-10</v>
      </c>
      <c r="D28" t="inlineStr">
        <is>
          <t>m/s</t>
        </is>
      </c>
      <c r="E28" t="b">
        <v>1</v>
      </c>
      <c r="F28" t="inlineStr">
        <is>
          <t>Допуск нулевого потока.</t>
        </is>
      </c>
    </row>
    <row r="29">
      <c r="B29" t="inlineStr">
        <is>
          <t>mpi_processes</t>
        </is>
      </c>
      <c r="C29" t="n">
        <v>1</v>
      </c>
      <c r="E29" t="b">
        <v>1</v>
      </c>
      <c r="F29" t="inlineStr">
        <is>
          <t>Число MPI-процессов.</t>
        </is>
      </c>
    </row>
    <row r="30">
      <c r="A30" t="inlineStr">
        <is>
          <t>diagnostics</t>
        </is>
      </c>
      <c r="B30" t="inlineStr">
        <is>
          <t>pressure_report_zero_threshold_pa</t>
        </is>
      </c>
      <c r="C30" t="n">
        <v>10</v>
      </c>
      <c r="D30" t="inlineStr">
        <is>
          <t>Порог только для отображения ошибки давления; PASS/FAIL задаётся pressure_abs_tolerance_pa.</t>
        </is>
      </c>
    </row>
    <row r="31">
      <c r="A31" t="inlineStr">
        <is>
          <t>diagnostics</t>
        </is>
      </c>
      <c r="B31" t="inlineStr">
        <is>
          <t>allow_solver_cuts</t>
        </is>
      </c>
      <c r="C31" t="b">
        <v>0</v>
      </c>
      <c r="D31" t="inlineStr">
        <is>
          <t>Для текущих verification-тестов solver cuts не допускаются.</t>
        </is>
      </c>
    </row>
    <row r="32">
      <c r="A32" t="inlineStr">
        <is>
          <t>diagnostics</t>
        </is>
      </c>
      <c r="B32" t="inlineStr">
        <is>
          <t>enable_conservation_file</t>
        </is>
      </c>
      <c r="C32" t="b">
        <v>1</v>
      </c>
      <c r="D32" t="inlineStr">
        <is>
          <t>Включает PFLOTRAN CONSERVATION_FILE для диагностического probe потоков/баланса.</t>
        </is>
      </c>
    </row>
    <row r="33">
      <c r="A33" t="inlineStr">
        <is>
          <t>diagnostics</t>
        </is>
      </c>
      <c r="B33" t="inlineStr">
        <is>
          <t>enable_mass_balance_file</t>
        </is>
      </c>
      <c r="C33" t="b">
        <v>1</v>
      </c>
      <c r="D33" t="inlineStr">
        <is>
          <t>Включает PFLOTRAN MASS_BALANCE_FILE для диагностического probe потоков/баланса.</t>
        </is>
      </c>
    </row>
    <row r="34">
      <c r="A34" t="inlineStr">
        <is>
          <t>diagnostics</t>
        </is>
      </c>
      <c r="B34" t="inlineStr">
        <is>
          <t>enable_direct_flux_output_probe</t>
        </is>
      </c>
      <c r="C34" t="b">
        <v>1</v>
      </c>
      <c r="D34" t="inlineStr">
        <is>
          <t>Пробная генерация mass/conservation/velocity output; fallback не валит тест.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Unit-gradient drainage: P=const, q=-Ks*kr(S).</t>
        </is>
      </c>
    </row>
    <row r="4">
      <c r="B4" t="inlineStr">
        <is>
          <t>parameter_name</t>
        </is>
      </c>
      <c r="C4" t="inlineStr">
        <is>
          <t>value</t>
        </is>
      </c>
      <c r="D4" t="inlineStr">
        <is>
          <t>unit</t>
        </is>
      </c>
      <c r="E4" t="inlineStr">
        <is>
          <t>required</t>
        </is>
      </c>
      <c r="F4" t="inlineStr">
        <is>
          <t>description_ru</t>
        </is>
      </c>
    </row>
    <row r="5">
      <c r="B5" t="inlineStr">
        <is>
          <t>enabled</t>
        </is>
      </c>
      <c r="C5" t="b">
        <v>1</v>
      </c>
      <c r="E5" t="b">
        <v>1</v>
      </c>
      <c r="F5" t="inlineStr">
        <is>
          <t>Включить тест в suite.</t>
        </is>
      </c>
    </row>
    <row r="6">
      <c r="B6" t="inlineStr">
        <is>
          <t>test_id</t>
        </is>
      </c>
      <c r="C6" t="inlineStr">
        <is>
          <t>_test_unit_gradient_unsat</t>
        </is>
      </c>
      <c r="E6" t="b">
        <v>1</v>
      </c>
      <c r="F6" t="inlineStr">
        <is>
          <t>Ненасыщенный unit-gradient drainage.</t>
        </is>
      </c>
    </row>
    <row r="7">
      <c r="B7" t="inlineStr">
        <is>
          <t>column_height_m</t>
        </is>
      </c>
      <c r="C7" t="n">
        <v>2</v>
      </c>
      <c r="D7" t="inlineStr">
        <is>
          <t>m</t>
        </is>
      </c>
      <c r="E7" t="b">
        <v>1</v>
      </c>
      <c r="F7" t="inlineStr">
        <is>
          <t>Высота колонки.</t>
        </is>
      </c>
    </row>
    <row r="8">
      <c r="B8" t="inlineStr">
        <is>
          <t>length_x_m</t>
        </is>
      </c>
      <c r="C8" t="n">
        <v>1</v>
      </c>
      <c r="D8" t="inlineStr">
        <is>
          <t>m</t>
        </is>
      </c>
      <c r="E8" t="b">
        <v>1</v>
      </c>
      <c r="F8" t="inlineStr">
        <is>
          <t>Размер по X.</t>
        </is>
      </c>
    </row>
    <row r="9">
      <c r="B9" t="inlineStr">
        <is>
          <t>length_y_m</t>
        </is>
      </c>
      <c r="C9" t="n">
        <v>1</v>
      </c>
      <c r="D9" t="inlineStr">
        <is>
          <t>m</t>
        </is>
      </c>
      <c r="E9" t="b">
        <v>1</v>
      </c>
      <c r="F9" t="inlineStr">
        <is>
          <t>Размер по Y.</t>
        </is>
      </c>
    </row>
    <row r="10">
      <c r="B10" t="inlineStr">
        <is>
          <t>nx</t>
        </is>
      </c>
      <c r="C10" t="n">
        <v>1</v>
      </c>
      <c r="E10" t="b">
        <v>1</v>
      </c>
      <c r="F10" t="inlineStr">
        <is>
          <t>Число ячеек по X.</t>
        </is>
      </c>
    </row>
    <row r="11">
      <c r="B11" t="inlineStr">
        <is>
          <t>ny</t>
        </is>
      </c>
      <c r="C11" t="n">
        <v>1</v>
      </c>
      <c r="E11" t="b">
        <v>1</v>
      </c>
      <c r="F11" t="inlineStr">
        <is>
          <t>Число ячеек по Y.</t>
        </is>
      </c>
    </row>
    <row r="12">
      <c r="B12" t="inlineStr">
        <is>
          <t>nz</t>
        </is>
      </c>
      <c r="C12" t="n">
        <v>80</v>
      </c>
      <c r="E12" t="b">
        <v>1</v>
      </c>
      <c r="F12" t="inlineStr">
        <is>
          <t>Число ячеек по Z.</t>
        </is>
      </c>
    </row>
    <row r="13">
      <c r="B13" t="inlineStr">
        <is>
          <t>theta_s</t>
        </is>
      </c>
      <c r="C13" t="n">
        <v>0.43</v>
      </c>
      <c r="E13" t="b">
        <v>1</v>
      </c>
      <c r="F13" t="inlineStr">
        <is>
          <t>Насыщенная объемная влажность; пористость PFLOTRAN.</t>
        </is>
      </c>
    </row>
    <row r="14">
      <c r="B14" t="inlineStr">
        <is>
          <t>theta_r</t>
        </is>
      </c>
      <c r="C14" t="n">
        <v>0.045</v>
      </c>
      <c r="E14" t="b">
        <v>1</v>
      </c>
      <c r="F14" t="inlineStr">
        <is>
          <t>Остаточная объемная влажность.</t>
        </is>
      </c>
    </row>
    <row r="15">
      <c r="B15" t="inlineStr">
        <is>
          <t>residual_saturation</t>
        </is>
      </c>
      <c r="C15">
        <f>C14/C13</f>
        <v/>
      </c>
      <c r="E15" t="b">
        <v>1</v>
      </c>
      <c r="F15" t="inlineStr">
        <is>
          <t>theta_r/theta_s.</t>
        </is>
      </c>
    </row>
    <row r="16">
      <c r="B16" t="inlineStr">
        <is>
          <t>alpha_1_m</t>
        </is>
      </c>
      <c r="C16" t="n">
        <v>3.6</v>
      </c>
      <c r="D16" t="inlineStr">
        <is>
          <t>1/m</t>
        </is>
      </c>
      <c r="E16" t="b">
        <v>1</v>
      </c>
      <c r="F16" t="inlineStr">
        <is>
          <t>Параметр van Genuchten.</t>
        </is>
      </c>
    </row>
    <row r="17">
      <c r="B17" t="inlineStr">
        <is>
          <t>n</t>
        </is>
      </c>
      <c r="C17" t="n">
        <v>1.56</v>
      </c>
      <c r="E17" t="b">
        <v>1</v>
      </c>
      <c r="F17" t="inlineStr">
        <is>
          <t>Параметр формы VG.</t>
        </is>
      </c>
    </row>
    <row r="18">
      <c r="B18" t="inlineStr">
        <is>
          <t>m</t>
        </is>
      </c>
      <c r="C18">
        <f>1-1/C17</f>
        <v/>
      </c>
      <c r="E18" t="b">
        <v>1</v>
      </c>
      <c r="F18" t="inlineStr">
        <is>
          <t>m=1-1/n.</t>
        </is>
      </c>
    </row>
    <row r="19">
      <c r="B19" t="inlineStr">
        <is>
          <t>ksat_m_s</t>
        </is>
      </c>
      <c r="C19" t="n">
        <v>5e-06</v>
      </c>
      <c r="D19" t="inlineStr">
        <is>
          <t>m/s</t>
        </is>
      </c>
      <c r="E19" t="b">
        <v>1</v>
      </c>
      <c r="F19" t="inlineStr">
        <is>
          <t>Насыщенная гидропроводность.</t>
        </is>
      </c>
    </row>
    <row r="20">
      <c r="B20" t="inlineStr">
        <is>
          <t>rho_water_kg_m3</t>
        </is>
      </c>
      <c r="C20" t="n">
        <v>997</v>
      </c>
      <c r="D20" t="inlineStr">
        <is>
          <t>kg/m3</t>
        </is>
      </c>
      <c r="E20" t="b">
        <v>1</v>
      </c>
      <c r="F20" t="inlineStr">
        <is>
          <t>Плотность воды.</t>
        </is>
      </c>
    </row>
    <row r="21">
      <c r="B21" t="inlineStr">
        <is>
          <t>mu_water_pa_s</t>
        </is>
      </c>
      <c r="C21" t="n">
        <v>0.0008899999999999999</v>
      </c>
      <c r="D21" t="inlineStr">
        <is>
          <t>Pa*s</t>
        </is>
      </c>
      <c r="E21" t="b">
        <v>1</v>
      </c>
      <c r="F21" t="inlineStr">
        <is>
          <t>Вязкость воды, согласованная с PFLOTRAN runtime.</t>
        </is>
      </c>
    </row>
    <row r="22">
      <c r="B22" t="inlineStr">
        <is>
          <t>gravity_m_s2</t>
        </is>
      </c>
      <c r="C22" t="n">
        <v>9.806649999999999</v>
      </c>
      <c r="D22" t="inlineStr">
        <is>
          <t>m/s2</t>
        </is>
      </c>
      <c r="E22" t="b">
        <v>1</v>
      </c>
      <c r="F22" t="inlineStr">
        <is>
          <t>Ускорение свободного падения.</t>
        </is>
      </c>
    </row>
    <row r="23">
      <c r="B23" t="inlineStr">
        <is>
          <t>atmospheric_pressure_pa</t>
        </is>
      </c>
      <c r="C23" t="n">
        <v>101325</v>
      </c>
      <c r="D23" t="inlineStr">
        <is>
          <t>Pa</t>
        </is>
      </c>
      <c r="E23" t="b">
        <v>1</v>
      </c>
      <c r="F23" t="inlineStr">
        <is>
          <t>Атмосферное давление для pressure head.</t>
        </is>
      </c>
    </row>
    <row r="24">
      <c r="B24" t="inlineStr">
        <is>
          <t>constant_pressure_pa</t>
        </is>
      </c>
      <c r="C24" t="n">
        <v>90000</v>
      </c>
      <c r="D24" t="inlineStr">
        <is>
          <t>Pa</t>
        </is>
      </c>
      <c r="E24" t="b">
        <v>1</v>
      </c>
      <c r="F24" t="inlineStr">
        <is>
          <t>Постоянное давление в колонке и на границах.</t>
        </is>
      </c>
    </row>
    <row r="25">
      <c r="B25" t="inlineStr">
        <is>
          <t>duration_days</t>
        </is>
      </c>
      <c r="C25" t="n">
        <v>3</v>
      </c>
      <c r="D25" t="inlineStr">
        <is>
          <t>d</t>
        </is>
      </c>
      <c r="E25" t="b">
        <v>1</v>
      </c>
      <c r="F25" t="inlineStr">
        <is>
          <t>Длительность расчёта.</t>
        </is>
      </c>
    </row>
    <row r="26">
      <c r="B26" t="inlineStr">
        <is>
          <t>pressure_abs_tolerance_pa</t>
        </is>
      </c>
      <c r="C26" t="n">
        <v>10</v>
      </c>
      <c r="D26" t="inlineStr">
        <is>
          <t>Pa</t>
        </is>
      </c>
      <c r="E26" t="b">
        <v>1</v>
      </c>
      <c r="F26" t="inlineStr">
        <is>
          <t>Допуск давления.</t>
        </is>
      </c>
    </row>
    <row r="27">
      <c r="B27" t="inlineStr">
        <is>
          <t>saturation_abs_tolerance</t>
        </is>
      </c>
      <c r="C27" t="n">
        <v>0.0001</v>
      </c>
      <c r="E27" t="b">
        <v>1</v>
      </c>
      <c r="F27" t="inlineStr">
        <is>
          <t>Допуск насыщенности с учётом точности TECPLOT.</t>
        </is>
      </c>
    </row>
    <row r="28">
      <c r="B28" t="inlineStr">
        <is>
          <t>flux_relative_tolerance</t>
        </is>
      </c>
      <c r="C28" t="n">
        <v>0.005</v>
      </c>
      <c r="E28" t="b">
        <v>1</v>
      </c>
      <c r="F28" t="inlineStr">
        <is>
          <t>Относительный допуск потока.</t>
        </is>
      </c>
    </row>
    <row r="29">
      <c r="B29" t="inlineStr">
        <is>
          <t>mpi_processes</t>
        </is>
      </c>
      <c r="C29" t="n">
        <v>1</v>
      </c>
      <c r="E29" t="b">
        <v>1</v>
      </c>
      <c r="F29" t="inlineStr">
        <is>
          <t>Число MPI-процессов.</t>
        </is>
      </c>
    </row>
    <row r="30">
      <c r="A30" t="inlineStr">
        <is>
          <t>diagnostics</t>
        </is>
      </c>
      <c r="B30" t="inlineStr">
        <is>
          <t>pressure_report_zero_threshold_pa</t>
        </is>
      </c>
      <c r="C30" t="n">
        <v>10</v>
      </c>
      <c r="D30" t="inlineStr">
        <is>
          <t>Порог только для отображения ошибки давления; PASS/FAIL задаётся pressure_abs_tolerance_pa.</t>
        </is>
      </c>
    </row>
    <row r="31">
      <c r="A31" t="inlineStr">
        <is>
          <t>diagnostics</t>
        </is>
      </c>
      <c r="B31" t="inlineStr">
        <is>
          <t>allow_solver_cuts</t>
        </is>
      </c>
      <c r="C31" t="b">
        <v>0</v>
      </c>
      <c r="D31" t="inlineStr">
        <is>
          <t>Для текущих verification-тестов solver cuts не допускаются.</t>
        </is>
      </c>
    </row>
    <row r="32">
      <c r="A32" t="inlineStr">
        <is>
          <t>diagnostics</t>
        </is>
      </c>
      <c r="B32" t="inlineStr">
        <is>
          <t>enable_conservation_file</t>
        </is>
      </c>
      <c r="C32" t="b">
        <v>1</v>
      </c>
      <c r="D32" t="inlineStr">
        <is>
          <t>Включает PFLOTRAN CONSERVATION_FILE для диагностического probe потоков/баланса.</t>
        </is>
      </c>
    </row>
    <row r="33">
      <c r="A33" t="inlineStr">
        <is>
          <t>diagnostics</t>
        </is>
      </c>
      <c r="B33" t="inlineStr">
        <is>
          <t>enable_mass_balance_file</t>
        </is>
      </c>
      <c r="C33" t="b">
        <v>1</v>
      </c>
      <c r="D33" t="inlineStr">
        <is>
          <t>Включает PFLOTRAN MASS_BALANCE_FILE для диагностического probe потоков/баланса.</t>
        </is>
      </c>
    </row>
    <row r="34">
      <c r="A34" t="inlineStr">
        <is>
          <t>diagnostics</t>
        </is>
      </c>
      <c r="B34" t="inlineStr">
        <is>
          <t>enable_direct_flux_output_probe</t>
        </is>
      </c>
      <c r="C34" t="b">
        <v>1</v>
      </c>
      <c r="D34" t="inlineStr">
        <is>
          <t>Пробная генерация mass/conservation/velocity output; fallback не валит тест.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SoilFlow/PFLOTRAN transient uniform storage VG verification</t>
        </is>
      </c>
    </row>
    <row r="3">
      <c r="A3" t="inlineStr">
        <is>
          <t>Section</t>
        </is>
      </c>
      <c r="B3" t="inlineStr">
        <is>
          <t>Parameter</t>
        </is>
      </c>
      <c r="C3" t="inlineStr">
        <is>
          <t>Value</t>
        </is>
      </c>
      <c r="D3" t="inlineStr">
        <is>
          <t>Units/notes</t>
        </is>
      </c>
    </row>
    <row r="5">
      <c r="A5" t="inlineStr">
        <is>
          <t>identity</t>
        </is>
      </c>
      <c r="B5" t="inlineStr">
        <is>
          <t>test_case_id</t>
        </is>
      </c>
      <c r="C5" t="inlineStr">
        <is>
          <t>transient_uniform_storage_vg</t>
        </is>
      </c>
    </row>
    <row r="6">
      <c r="A6" t="inlineStr">
        <is>
          <t>geometry</t>
        </is>
      </c>
      <c r="B6" t="inlineStr">
        <is>
          <t>length_x_m</t>
        </is>
      </c>
      <c r="C6" t="n">
        <v>1</v>
      </c>
      <c r="D6" t="inlineStr">
        <is>
          <t>m</t>
        </is>
      </c>
    </row>
    <row r="7">
      <c r="A7" t="inlineStr">
        <is>
          <t>geometry</t>
        </is>
      </c>
      <c r="B7" t="inlineStr">
        <is>
          <t>length_y_m</t>
        </is>
      </c>
      <c r="C7" t="n">
        <v>1</v>
      </c>
      <c r="D7" t="inlineStr">
        <is>
          <t>m</t>
        </is>
      </c>
    </row>
    <row r="8">
      <c r="A8" t="inlineStr">
        <is>
          <t>geometry</t>
        </is>
      </c>
      <c r="B8" t="inlineStr">
        <is>
          <t>length_z_m</t>
        </is>
      </c>
      <c r="C8" t="n">
        <v>0.2</v>
      </c>
      <c r="D8" t="inlineStr">
        <is>
          <t>m</t>
        </is>
      </c>
    </row>
    <row r="9">
      <c r="A9" t="inlineStr">
        <is>
          <t>geometry</t>
        </is>
      </c>
      <c r="B9" t="inlineStr">
        <is>
          <t>nx</t>
        </is>
      </c>
      <c r="C9" t="n">
        <v>10</v>
      </c>
    </row>
    <row r="10">
      <c r="A10" t="inlineStr">
        <is>
          <t>geometry</t>
        </is>
      </c>
      <c r="B10" t="inlineStr">
        <is>
          <t>ny</t>
        </is>
      </c>
      <c r="C10" t="n">
        <v>1</v>
      </c>
    </row>
    <row r="11">
      <c r="A11" t="inlineStr">
        <is>
          <t>geometry</t>
        </is>
      </c>
      <c r="B11" t="inlineStr">
        <is>
          <t>nz</t>
        </is>
      </c>
      <c r="C11" t="n">
        <v>1</v>
      </c>
    </row>
    <row r="12">
      <c r="A12" t="inlineStr">
        <is>
          <t>soil</t>
        </is>
      </c>
      <c r="B12" t="inlineStr">
        <is>
          <t>theta_s</t>
        </is>
      </c>
      <c r="C12" t="n">
        <v>0.43</v>
      </c>
    </row>
    <row r="13">
      <c r="A13" t="inlineStr">
        <is>
          <t>soil</t>
        </is>
      </c>
      <c r="B13" t="inlineStr">
        <is>
          <t>theta_r</t>
        </is>
      </c>
      <c r="C13" t="n">
        <v>0.045</v>
      </c>
    </row>
    <row r="14">
      <c r="A14" t="inlineStr">
        <is>
          <t>soil</t>
        </is>
      </c>
      <c r="B14" t="inlineStr">
        <is>
          <t>residual_saturation</t>
        </is>
      </c>
      <c r="C14" t="n">
        <v>0.1046511627906977</v>
      </c>
    </row>
    <row r="15">
      <c r="A15" t="inlineStr">
        <is>
          <t>soil</t>
        </is>
      </c>
      <c r="B15" t="inlineStr">
        <is>
          <t>alpha_1_m</t>
        </is>
      </c>
      <c r="C15" t="n">
        <v>3.6</v>
      </c>
      <c r="D15" t="inlineStr">
        <is>
          <t>1/m</t>
        </is>
      </c>
    </row>
    <row r="16">
      <c r="A16" t="inlineStr">
        <is>
          <t>soil</t>
        </is>
      </c>
      <c r="B16" t="inlineStr">
        <is>
          <t>n</t>
        </is>
      </c>
      <c r="C16" t="n">
        <v>1.56</v>
      </c>
    </row>
    <row r="17">
      <c r="A17" t="inlineStr">
        <is>
          <t>soil</t>
        </is>
      </c>
      <c r="B17" t="inlineStr">
        <is>
          <t>ksat_m_s</t>
        </is>
      </c>
      <c r="C17" t="n">
        <v>5e-06</v>
      </c>
      <c r="D17" t="inlineStr">
        <is>
          <t>m/s</t>
        </is>
      </c>
    </row>
    <row r="18">
      <c r="A18" t="inlineStr">
        <is>
          <t>fluid</t>
        </is>
      </c>
      <c r="B18" t="inlineStr">
        <is>
          <t>rho_water_kg_m3</t>
        </is>
      </c>
      <c r="C18" t="n">
        <v>997</v>
      </c>
      <c r="D18" t="inlineStr">
        <is>
          <t>kg/m3</t>
        </is>
      </c>
    </row>
    <row r="19">
      <c r="A19" t="inlineStr">
        <is>
          <t>fluid</t>
        </is>
      </c>
      <c r="B19" t="inlineStr">
        <is>
          <t>mu_water_pa_s</t>
        </is>
      </c>
      <c r="C19" t="n">
        <v>0.0008899999999999999</v>
      </c>
      <c r="D19" t="inlineStr">
        <is>
          <t>Pa*s</t>
        </is>
      </c>
    </row>
    <row r="20">
      <c r="A20" t="inlineStr">
        <is>
          <t>fluid</t>
        </is>
      </c>
      <c r="B20" t="inlineStr">
        <is>
          <t>gravity_m_s2</t>
        </is>
      </c>
      <c r="C20" t="n">
        <v>9.806649999999999</v>
      </c>
      <c r="D20" t="inlineStr">
        <is>
          <t>m/s2</t>
        </is>
      </c>
    </row>
    <row r="21">
      <c r="A21" t="inlineStr">
        <is>
          <t>fluid</t>
        </is>
      </c>
      <c r="B21" t="inlineStr">
        <is>
          <t>atmospheric_pressure_pa</t>
        </is>
      </c>
      <c r="C21" t="n">
        <v>101325</v>
      </c>
      <c r="D21" t="inlineStr">
        <is>
          <t>Pa</t>
        </is>
      </c>
    </row>
    <row r="22">
      <c r="A22" t="inlineStr">
        <is>
          <t>forcing</t>
        </is>
      </c>
      <c r="B22" t="inlineStr">
        <is>
          <t>initial_saturation</t>
        </is>
      </c>
      <c r="C22" t="n">
        <v>0.55</v>
      </c>
    </row>
    <row r="23">
      <c r="A23" t="inlineStr">
        <is>
          <t>forcing</t>
        </is>
      </c>
      <c r="B23" t="inlineStr">
        <is>
          <t>saturation_amplitude</t>
        </is>
      </c>
      <c r="C23" t="n">
        <v>0.08</v>
      </c>
    </row>
    <row r="24">
      <c r="A24" t="inlineStr">
        <is>
          <t>forcing</t>
        </is>
      </c>
      <c r="B24" t="inlineStr">
        <is>
          <t>period_days</t>
        </is>
      </c>
      <c r="C24" t="n">
        <v>1</v>
      </c>
      <c r="D24" t="inlineStr">
        <is>
          <t>d</t>
        </is>
      </c>
    </row>
    <row r="25">
      <c r="A25" t="inlineStr">
        <is>
          <t>time</t>
        </is>
      </c>
      <c r="B25" t="inlineStr">
        <is>
          <t>duration_days</t>
        </is>
      </c>
      <c r="C25" t="n">
        <v>1</v>
      </c>
      <c r="D25" t="inlineStr">
        <is>
          <t>d</t>
        </is>
      </c>
    </row>
    <row r="26">
      <c r="A26" t="inlineStr">
        <is>
          <t>time</t>
        </is>
      </c>
      <c r="B26" t="inlineStr">
        <is>
          <t>maximum_timestep_days</t>
        </is>
      </c>
      <c r="C26" t="n">
        <v>0.001</v>
      </c>
      <c r="D26" t="inlineStr">
        <is>
          <t>d</t>
        </is>
      </c>
    </row>
    <row r="27">
      <c r="A27" t="inlineStr">
        <is>
          <t>time</t>
        </is>
      </c>
      <c r="B27" t="inlineStr">
        <is>
          <t>output_interval_days</t>
        </is>
      </c>
      <c r="C27" t="n">
        <v>0.01</v>
      </c>
      <c r="D27" t="inlineStr">
        <is>
          <t>d</t>
        </is>
      </c>
    </row>
    <row r="28">
      <c r="A28" t="inlineStr">
        <is>
          <t>acceptance</t>
        </is>
      </c>
      <c r="B28" t="inlineStr">
        <is>
          <t>pressure_abs_tolerance_pa</t>
        </is>
      </c>
      <c r="C28" t="n">
        <v>120</v>
      </c>
      <c r="D28" t="inlineStr">
        <is>
          <t>Pa</t>
        </is>
      </c>
    </row>
    <row r="29">
      <c r="A29" t="inlineStr">
        <is>
          <t>acceptance</t>
        </is>
      </c>
      <c r="B29" t="inlineStr">
        <is>
          <t>saturation_abs_tolerance</t>
        </is>
      </c>
      <c r="C29" t="n">
        <v>0.003</v>
      </c>
    </row>
    <row r="30">
      <c r="A30" t="inlineStr">
        <is>
          <t>acceptance</t>
        </is>
      </c>
      <c r="B30" t="inlineStr">
        <is>
          <t>uniformity_tolerance</t>
        </is>
      </c>
      <c r="C30" t="n">
        <v>1e-08</v>
      </c>
    </row>
    <row r="31">
      <c r="A31" t="inlineStr">
        <is>
          <t>acceptance</t>
        </is>
      </c>
      <c r="B31" t="inlineStr">
        <is>
          <t>mass_balance_tolerance_m3</t>
        </is>
      </c>
      <c r="C31" t="n">
        <v>1e-08</v>
      </c>
      <c r="D31" t="inlineStr">
        <is>
          <t>m3</t>
        </is>
      </c>
    </row>
    <row r="32">
      <c r="A32" t="inlineStr">
        <is>
          <t>runtime</t>
        </is>
      </c>
      <c r="B32" t="inlineStr">
        <is>
          <t>mpi_processes</t>
        </is>
      </c>
      <c r="C32" t="n">
        <v>1</v>
      </c>
    </row>
    <row r="33">
      <c r="A33" t="inlineStr">
        <is>
          <t>diagnostics</t>
        </is>
      </c>
      <c r="B33" t="inlineStr">
        <is>
          <t>pressure_report_zero_threshold_pa</t>
        </is>
      </c>
      <c r="C33" t="n">
        <v>10</v>
      </c>
      <c r="D33" t="inlineStr">
        <is>
          <t>Порог только для отображения ошибки давления; PASS/FAIL задаётся pressure_abs_tolerance_pa.</t>
        </is>
      </c>
    </row>
    <row r="34">
      <c r="A34" t="inlineStr">
        <is>
          <t>diagnostics</t>
        </is>
      </c>
      <c r="B34" t="inlineStr">
        <is>
          <t>allow_solver_cuts</t>
        </is>
      </c>
      <c r="C34" t="b">
        <v>0</v>
      </c>
      <c r="D34" t="inlineStr">
        <is>
          <t>Для текущих verification-тестов solver cuts не допускаются.</t>
        </is>
      </c>
    </row>
    <row r="35">
      <c r="A35" t="inlineStr">
        <is>
          <t>diagnostics</t>
        </is>
      </c>
      <c r="B35" t="inlineStr">
        <is>
          <t>enable_conservation_file</t>
        </is>
      </c>
      <c r="C35" t="b">
        <v>1</v>
      </c>
      <c r="D35" t="inlineStr">
        <is>
          <t>Включает PFLOTRAN CONSERVATION_FILE для диагностического probe потоков/баланса.</t>
        </is>
      </c>
    </row>
    <row r="36">
      <c r="A36" t="inlineStr">
        <is>
          <t>diagnostics</t>
        </is>
      </c>
      <c r="B36" t="inlineStr">
        <is>
          <t>enable_mass_balance_file</t>
        </is>
      </c>
      <c r="C36" t="b">
        <v>1</v>
      </c>
      <c r="D36" t="inlineStr">
        <is>
          <t>Включает PFLOTRAN MASS_BALANCE_FILE для диагностического probe потоков/баланса.</t>
        </is>
      </c>
    </row>
    <row r="37">
      <c r="A37" t="inlineStr">
        <is>
          <t>diagnostics</t>
        </is>
      </c>
      <c r="B37" t="inlineStr">
        <is>
          <t>enable_direct_flux_output_probe</t>
        </is>
      </c>
      <c r="C37" t="b">
        <v>1</v>
      </c>
      <c r="D37" t="inlineStr">
        <is>
          <t>Пробная генерация mass/conservation/velocity output; fallback не валит тест.</t>
        </is>
      </c>
    </row>
    <row r="38">
      <c r="A38" t="inlineStr">
        <is>
          <t>diagnostics</t>
        </is>
      </c>
      <c r="B38" t="inlineStr">
        <is>
          <t>flux_check</t>
        </is>
      </c>
      <c r="C38" t="inlineStr">
        <is>
          <t>SKIP</t>
        </is>
      </c>
      <c r="D38" t="inlineStr">
        <is>
          <t>Spatial flux отсутствует: горизонтальная no-flow manufactured storage задача.</t>
        </is>
      </c>
    </row>
    <row r="39">
      <c r="A39" t="inlineStr">
        <is>
          <t>diagnostics</t>
        </is>
      </c>
      <c r="B39" t="inlineStr">
        <is>
          <t>flux_observation_method</t>
        </is>
      </c>
      <c r="C39" t="inlineStr">
        <is>
          <t>no_spatial_flux_uniform_storage_test</t>
        </is>
      </c>
      <c r="D39" t="inlineStr">
        <is>
          <t>Проверяется storage/source-sink/time stepping, не face flux.</t>
        </is>
      </c>
    </row>
    <row r="40">
      <c r="A40" t="inlineStr">
        <is>
          <t>diagnostics</t>
        </is>
      </c>
      <c r="B40" t="inlineStr">
        <is>
          <t>source_sink_balance_check_enabled</t>
        </is>
      </c>
      <c r="C40" t="b">
        <v>1</v>
      </c>
      <c r="D40" t="inlineStr">
        <is>
          <t>Проверять интеграл RATE LIST против изменения storage.</t>
        </is>
      </c>
    </row>
    <row r="41">
      <c r="A41" t="inlineStr">
        <is>
          <t>diagnostics</t>
        </is>
      </c>
      <c r="B41" t="inlineStr">
        <is>
          <t>mass_balance_check_enabled</t>
        </is>
      </c>
      <c r="C41" t="b">
        <v>1</v>
      </c>
      <c r="D41" t="inlineStr">
        <is>
          <t>Проверять аналитический mass/storage balance.</t>
        </is>
      </c>
    </row>
    <row r="42">
      <c r="A42" t="inlineStr">
        <is>
          <t>diagnostics</t>
        </is>
      </c>
      <c r="B42" t="inlineStr">
        <is>
          <t>spatial_uniformity_check_enabled</t>
        </is>
      </c>
      <c r="C42" t="b">
        <v>1</v>
      </c>
      <c r="D42" t="inlineStr">
        <is>
          <t>Проверять однородность давления и насыщенности по области.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2026-05-30T19:24:46Z</dcterms:created>
  <dcterms:modified xmlns:dcterms="http://purl.org/dc/terms/" xmlns:xsi="http://www.w3.org/2001/XMLSchema-instance" xsi:type="dcterms:W3CDTF">2026-05-30T21:22:34+00:00Z</dcterms:modified>
</cp:coreProperties>
</file>